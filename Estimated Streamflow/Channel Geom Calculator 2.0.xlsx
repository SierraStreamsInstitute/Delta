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herrmann/Desktop/Delta research project/Manning's Streamflow Calc/R Scripts &amp; MS Excel sheet/"/>
    </mc:Choice>
  </mc:AlternateContent>
  <xr:revisionPtr revIDLastSave="0" documentId="13_ncr:1_{24CE7952-4E04-ED48-AA2D-76C611FBDE68}" xr6:coauthVersionLast="47" xr6:coauthVersionMax="47" xr10:uidLastSave="{00000000-0000-0000-0000-000000000000}"/>
  <bookViews>
    <workbookView xWindow="320" yWindow="760" windowWidth="28100" windowHeight="17420" xr2:uid="{00000000-000D-0000-FFFF-FFFF00000000}"/>
  </bookViews>
  <sheets>
    <sheet name="Read Me" sheetId="18" r:id="rId1"/>
    <sheet name="Final Models" sheetId="17" r:id="rId2"/>
    <sheet name="SHADY" sheetId="3" r:id="rId3"/>
    <sheet name="DC116" sheetId="4" r:id="rId4"/>
    <sheet name="DC20" sheetId="5" r:id="rId5"/>
    <sheet name="DC10" sheetId="6" r:id="rId6"/>
    <sheet name="BR55" sheetId="7" r:id="rId7"/>
    <sheet name="EFAR" sheetId="8" r:id="rId8"/>
    <sheet name="MON" sheetId="9" r:id="rId9"/>
    <sheet name="GSW" sheetId="10" r:id="rId10"/>
    <sheet name="NFFR" sheetId="11" r:id="rId11"/>
    <sheet name="MAR" sheetId="12" r:id="rId12"/>
    <sheet name="CAT" sheetId="16" r:id="rId13"/>
    <sheet name="BUT" sheetId="13" r:id="rId14"/>
    <sheet name="WBUT" sheetId="14" r:id="rId15"/>
    <sheet name="MCL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3" l="1"/>
  <c r="D6" i="3"/>
  <c r="S20" i="16"/>
  <c r="S17" i="16"/>
  <c r="S14" i="16"/>
  <c r="S11" i="16"/>
  <c r="S8" i="16"/>
  <c r="Q23" i="16"/>
  <c r="Q20" i="16"/>
  <c r="Q17" i="16"/>
  <c r="Q14" i="16"/>
  <c r="Q11" i="16"/>
  <c r="G20" i="16"/>
  <c r="E20" i="16"/>
  <c r="I17" i="16"/>
  <c r="G17" i="16"/>
  <c r="E17" i="16"/>
  <c r="K14" i="16"/>
  <c r="I11" i="16"/>
  <c r="I14" i="16"/>
  <c r="G14" i="16"/>
  <c r="E14" i="16"/>
  <c r="M11" i="16"/>
  <c r="K11" i="16"/>
  <c r="G11" i="16"/>
  <c r="F18" i="16"/>
  <c r="F15" i="16"/>
  <c r="H15" i="16"/>
  <c r="F12" i="16"/>
  <c r="H12" i="16"/>
  <c r="J12" i="16"/>
  <c r="L9" i="16"/>
  <c r="J9" i="16"/>
  <c r="F9" i="16"/>
  <c r="H9" i="16"/>
  <c r="Q8" i="16"/>
  <c r="E11" i="16"/>
  <c r="M8" i="16"/>
  <c r="K8" i="16"/>
  <c r="I8" i="16"/>
  <c r="G8" i="16"/>
  <c r="E8" i="16"/>
  <c r="C8" i="16"/>
  <c r="L6" i="16"/>
  <c r="J6" i="16"/>
  <c r="H6" i="16"/>
  <c r="F6" i="16"/>
  <c r="D6" i="16"/>
  <c r="W27" i="16"/>
  <c r="R23" i="16"/>
  <c r="W11" i="16"/>
  <c r="V22" i="16"/>
  <c r="S20" i="15"/>
  <c r="S17" i="15"/>
  <c r="S14" i="15"/>
  <c r="S11" i="15"/>
  <c r="S8" i="15"/>
  <c r="G20" i="15"/>
  <c r="E20" i="15"/>
  <c r="I17" i="15"/>
  <c r="G17" i="15"/>
  <c r="E17" i="15"/>
  <c r="K14" i="15"/>
  <c r="I14" i="15"/>
  <c r="G14" i="15"/>
  <c r="E14" i="15"/>
  <c r="M11" i="15"/>
  <c r="K11" i="15"/>
  <c r="I11" i="15"/>
  <c r="G11" i="15"/>
  <c r="E11" i="15"/>
  <c r="M8" i="15"/>
  <c r="K8" i="15"/>
  <c r="I8" i="15"/>
  <c r="G8" i="15"/>
  <c r="E8" i="15"/>
  <c r="C8" i="15"/>
  <c r="S17" i="14"/>
  <c r="S14" i="14"/>
  <c r="I17" i="14"/>
  <c r="R17" i="14"/>
  <c r="K14" i="14"/>
  <c r="R14" i="14" s="1"/>
  <c r="W8" i="14" s="1"/>
  <c r="K11" i="14"/>
  <c r="S20" i="14"/>
  <c r="S11" i="14"/>
  <c r="S8" i="14"/>
  <c r="G20" i="14"/>
  <c r="E20" i="14"/>
  <c r="G17" i="14"/>
  <c r="E17" i="14"/>
  <c r="I14" i="14"/>
  <c r="G14" i="14"/>
  <c r="E14" i="14"/>
  <c r="M11" i="14"/>
  <c r="I11" i="14"/>
  <c r="G11" i="14"/>
  <c r="E11" i="14"/>
  <c r="M8" i="14"/>
  <c r="K8" i="14"/>
  <c r="I8" i="14"/>
  <c r="G8" i="14"/>
  <c r="E8" i="14"/>
  <c r="C8" i="14"/>
  <c r="R8" i="14" s="1"/>
  <c r="W6" i="14" s="1"/>
  <c r="S20" i="13"/>
  <c r="S17" i="13"/>
  <c r="S14" i="13"/>
  <c r="S11" i="13"/>
  <c r="S8" i="13"/>
  <c r="E20" i="13"/>
  <c r="C11" i="13"/>
  <c r="G20" i="13"/>
  <c r="K11" i="13"/>
  <c r="I11" i="13"/>
  <c r="G11" i="13"/>
  <c r="E11" i="13"/>
  <c r="I17" i="13"/>
  <c r="G17" i="13"/>
  <c r="E17" i="13"/>
  <c r="I14" i="13"/>
  <c r="G14" i="13"/>
  <c r="E14" i="13"/>
  <c r="M8" i="13"/>
  <c r="K8" i="13"/>
  <c r="I8" i="13"/>
  <c r="G8" i="13"/>
  <c r="E8" i="13"/>
  <c r="C8" i="13"/>
  <c r="S20" i="12"/>
  <c r="S17" i="12"/>
  <c r="S14" i="12"/>
  <c r="S11" i="12"/>
  <c r="S8" i="12"/>
  <c r="G20" i="12"/>
  <c r="E20" i="12"/>
  <c r="I17" i="12"/>
  <c r="G17" i="12"/>
  <c r="E17" i="12"/>
  <c r="K14" i="12"/>
  <c r="I14" i="12"/>
  <c r="G14" i="12"/>
  <c r="E14" i="12"/>
  <c r="M11" i="12"/>
  <c r="K11" i="12"/>
  <c r="I11" i="12"/>
  <c r="G11" i="12"/>
  <c r="E11" i="12"/>
  <c r="M8" i="12"/>
  <c r="K8" i="12"/>
  <c r="I8" i="12"/>
  <c r="G8" i="12"/>
  <c r="E8" i="12"/>
  <c r="C8" i="12"/>
  <c r="S20" i="11"/>
  <c r="S17" i="11"/>
  <c r="S14" i="11"/>
  <c r="S11" i="11"/>
  <c r="S8" i="11"/>
  <c r="E17" i="11"/>
  <c r="E20" i="11"/>
  <c r="C20" i="11"/>
  <c r="G17" i="11"/>
  <c r="C17" i="11"/>
  <c r="M14" i="11"/>
  <c r="K14" i="11"/>
  <c r="G14" i="11"/>
  <c r="E14" i="11"/>
  <c r="C14" i="11"/>
  <c r="M11" i="11"/>
  <c r="K11" i="11"/>
  <c r="I11" i="11"/>
  <c r="G11" i="11"/>
  <c r="E11" i="11"/>
  <c r="C11" i="11"/>
  <c r="M8" i="11"/>
  <c r="K8" i="11"/>
  <c r="I8" i="11"/>
  <c r="G8" i="11"/>
  <c r="E8" i="11"/>
  <c r="C8" i="11"/>
  <c r="H6" i="11"/>
  <c r="S20" i="10"/>
  <c r="S17" i="10"/>
  <c r="S14" i="10"/>
  <c r="I20" i="10"/>
  <c r="G17" i="10"/>
  <c r="K14" i="10"/>
  <c r="I14" i="10"/>
  <c r="C11" i="10"/>
  <c r="M8" i="10"/>
  <c r="K8" i="10"/>
  <c r="I8" i="10"/>
  <c r="C8" i="10"/>
  <c r="S20" i="9"/>
  <c r="S17" i="9"/>
  <c r="S14" i="9"/>
  <c r="S11" i="9"/>
  <c r="S8" i="9"/>
  <c r="M20" i="9"/>
  <c r="K20" i="9"/>
  <c r="M17" i="9"/>
  <c r="K17" i="9"/>
  <c r="I17" i="9"/>
  <c r="M14" i="9"/>
  <c r="K14" i="9"/>
  <c r="I14" i="9"/>
  <c r="G8" i="9"/>
  <c r="G14" i="9"/>
  <c r="M11" i="9"/>
  <c r="K11" i="9"/>
  <c r="I11" i="9"/>
  <c r="G11" i="9"/>
  <c r="E11" i="9"/>
  <c r="M8" i="9"/>
  <c r="K8" i="9"/>
  <c r="I8" i="9"/>
  <c r="E8" i="9"/>
  <c r="C8" i="9"/>
  <c r="S20" i="8"/>
  <c r="S17" i="8"/>
  <c r="W25" i="8" s="1"/>
  <c r="S14" i="8"/>
  <c r="S11" i="8"/>
  <c r="W23" i="8" s="1"/>
  <c r="S8" i="8"/>
  <c r="W22" i="8" s="1"/>
  <c r="K20" i="8"/>
  <c r="I20" i="8"/>
  <c r="M17" i="8"/>
  <c r="K17" i="8"/>
  <c r="I17" i="8"/>
  <c r="M14" i="8"/>
  <c r="K14" i="8"/>
  <c r="I14" i="8"/>
  <c r="G14" i="8"/>
  <c r="M11" i="8"/>
  <c r="K11" i="8"/>
  <c r="I11" i="8"/>
  <c r="G11" i="8"/>
  <c r="E11" i="8"/>
  <c r="M8" i="8"/>
  <c r="K8" i="8"/>
  <c r="I8" i="8"/>
  <c r="G8" i="8"/>
  <c r="E8" i="8"/>
  <c r="C8" i="8"/>
  <c r="Q23" i="15"/>
  <c r="Q20" i="15"/>
  <c r="Q17" i="15"/>
  <c r="Q14" i="15"/>
  <c r="Q11" i="15"/>
  <c r="F18" i="15"/>
  <c r="F15" i="15"/>
  <c r="H15" i="15"/>
  <c r="F12" i="15"/>
  <c r="H12" i="15"/>
  <c r="L12" i="15"/>
  <c r="L9" i="15"/>
  <c r="J9" i="15"/>
  <c r="H9" i="15"/>
  <c r="F9" i="15"/>
  <c r="Q23" i="14"/>
  <c r="Q20" i="14"/>
  <c r="Q17" i="14"/>
  <c r="Q14" i="14"/>
  <c r="Q11" i="14"/>
  <c r="F18" i="14"/>
  <c r="H15" i="14"/>
  <c r="F15" i="14"/>
  <c r="F12" i="14"/>
  <c r="H12" i="14"/>
  <c r="J12" i="14"/>
  <c r="L9" i="14"/>
  <c r="J9" i="14"/>
  <c r="H9" i="14"/>
  <c r="F9" i="14"/>
  <c r="Q23" i="13"/>
  <c r="Q20" i="13"/>
  <c r="Q17" i="13"/>
  <c r="Q14" i="13"/>
  <c r="Q11" i="13"/>
  <c r="F18" i="13"/>
  <c r="F15" i="13"/>
  <c r="H15" i="13"/>
  <c r="J12" i="13"/>
  <c r="H12" i="13"/>
  <c r="F12" i="13"/>
  <c r="D9" i="13"/>
  <c r="F9" i="13"/>
  <c r="H9" i="13"/>
  <c r="J9" i="13"/>
  <c r="Q23" i="12"/>
  <c r="Q20" i="12"/>
  <c r="Q17" i="12"/>
  <c r="Q14" i="12"/>
  <c r="Q11" i="12"/>
  <c r="F18" i="12"/>
  <c r="H15" i="12"/>
  <c r="F15" i="12"/>
  <c r="J12" i="12"/>
  <c r="H12" i="12"/>
  <c r="F12" i="12"/>
  <c r="L9" i="12"/>
  <c r="J9" i="12"/>
  <c r="H9" i="12"/>
  <c r="F9" i="12"/>
  <c r="Q23" i="11"/>
  <c r="Q20" i="11"/>
  <c r="Q17" i="11"/>
  <c r="Q14" i="11"/>
  <c r="Q11" i="11"/>
  <c r="D18" i="11"/>
  <c r="D15" i="11"/>
  <c r="F15" i="11"/>
  <c r="D12" i="11"/>
  <c r="F12" i="11"/>
  <c r="L12" i="11"/>
  <c r="D9" i="11"/>
  <c r="F9" i="11"/>
  <c r="H9" i="11"/>
  <c r="L9" i="11"/>
  <c r="Q23" i="9"/>
  <c r="Q20" i="9"/>
  <c r="Q17" i="9"/>
  <c r="Q14" i="9"/>
  <c r="Q11" i="9"/>
  <c r="L18" i="9"/>
  <c r="L15" i="9"/>
  <c r="J15" i="9"/>
  <c r="L12" i="9"/>
  <c r="J12" i="9"/>
  <c r="H12" i="9"/>
  <c r="L9" i="9"/>
  <c r="J9" i="9"/>
  <c r="H9" i="9"/>
  <c r="F9" i="9"/>
  <c r="L6" i="15"/>
  <c r="J6" i="15"/>
  <c r="H6" i="15"/>
  <c r="F6" i="15"/>
  <c r="D6" i="15"/>
  <c r="L6" i="14"/>
  <c r="J6" i="14"/>
  <c r="H6" i="14"/>
  <c r="F6" i="14"/>
  <c r="D6" i="14"/>
  <c r="L6" i="13"/>
  <c r="J6" i="13"/>
  <c r="H6" i="13"/>
  <c r="F6" i="13"/>
  <c r="D6" i="13"/>
  <c r="L6" i="12"/>
  <c r="J6" i="12"/>
  <c r="H6" i="12"/>
  <c r="F6" i="12"/>
  <c r="D6" i="12"/>
  <c r="L6" i="11"/>
  <c r="J6" i="11"/>
  <c r="F6" i="11"/>
  <c r="D6" i="11"/>
  <c r="L6" i="10"/>
  <c r="S11" i="10" s="1"/>
  <c r="W23" i="10" s="1"/>
  <c r="J6" i="10"/>
  <c r="K11" i="10" s="1"/>
  <c r="H6" i="10"/>
  <c r="W24" i="10" s="1"/>
  <c r="F6" i="10"/>
  <c r="E14" i="10" s="1"/>
  <c r="L6" i="9"/>
  <c r="J6" i="9"/>
  <c r="H6" i="9"/>
  <c r="F6" i="9"/>
  <c r="D6" i="9"/>
  <c r="L6" i="8"/>
  <c r="J6" i="8"/>
  <c r="H6" i="8"/>
  <c r="F6" i="8"/>
  <c r="D6" i="8"/>
  <c r="L6" i="7"/>
  <c r="J6" i="7"/>
  <c r="H6" i="7"/>
  <c r="F6" i="7"/>
  <c r="D6" i="7"/>
  <c r="L6" i="6"/>
  <c r="J6" i="6"/>
  <c r="H6" i="6"/>
  <c r="F6" i="6"/>
  <c r="D6" i="6"/>
  <c r="L6" i="3"/>
  <c r="J6" i="3"/>
  <c r="H6" i="3"/>
  <c r="F6" i="3"/>
  <c r="F9" i="3"/>
  <c r="L6" i="5"/>
  <c r="J6" i="5"/>
  <c r="H6" i="5"/>
  <c r="F6" i="5"/>
  <c r="G11" i="5" s="1"/>
  <c r="D6" i="5"/>
  <c r="E11" i="5" s="1"/>
  <c r="L6" i="4"/>
  <c r="J6" i="4"/>
  <c r="H6" i="4"/>
  <c r="F6" i="4"/>
  <c r="D6" i="4"/>
  <c r="S8" i="3"/>
  <c r="W22" i="3" s="1"/>
  <c r="V23" i="9"/>
  <c r="Q23" i="8"/>
  <c r="Q20" i="8"/>
  <c r="Q17" i="8"/>
  <c r="Q14" i="8"/>
  <c r="Q11" i="8"/>
  <c r="J18" i="8"/>
  <c r="L15" i="8"/>
  <c r="J15" i="8"/>
  <c r="L12" i="8"/>
  <c r="J12" i="8"/>
  <c r="H12" i="8"/>
  <c r="L9" i="8"/>
  <c r="J9" i="8"/>
  <c r="H9" i="8"/>
  <c r="F9" i="8"/>
  <c r="W27" i="15"/>
  <c r="W26" i="15"/>
  <c r="W25" i="15"/>
  <c r="W24" i="15"/>
  <c r="V24" i="15"/>
  <c r="W23" i="15"/>
  <c r="V23" i="15"/>
  <c r="R23" i="15"/>
  <c r="W22" i="15"/>
  <c r="R20" i="15"/>
  <c r="W10" i="15" s="1"/>
  <c r="R17" i="15"/>
  <c r="W9" i="15" s="1"/>
  <c r="R14" i="15"/>
  <c r="W8" i="15" s="1"/>
  <c r="W11" i="15"/>
  <c r="R11" i="15"/>
  <c r="W7" i="15" s="1"/>
  <c r="V7" i="15"/>
  <c r="R8" i="15"/>
  <c r="W6" i="15" s="1"/>
  <c r="Q8" i="15"/>
  <c r="V22" i="15" s="1"/>
  <c r="W27" i="14"/>
  <c r="W26" i="14"/>
  <c r="W25" i="14"/>
  <c r="W24" i="14"/>
  <c r="W23" i="14"/>
  <c r="V23" i="14"/>
  <c r="R23" i="14"/>
  <c r="W22" i="14"/>
  <c r="R20" i="14"/>
  <c r="W10" i="14" s="1"/>
  <c r="W9" i="14"/>
  <c r="V24" i="14"/>
  <c r="W11" i="14"/>
  <c r="R11" i="14"/>
  <c r="W7" i="14" s="1"/>
  <c r="Q8" i="14"/>
  <c r="V6" i="14" s="1"/>
  <c r="V7" i="14"/>
  <c r="W27" i="13"/>
  <c r="W26" i="13"/>
  <c r="W25" i="13"/>
  <c r="W24" i="13"/>
  <c r="V24" i="13"/>
  <c r="W23" i="13"/>
  <c r="R23" i="13"/>
  <c r="W22" i="13"/>
  <c r="R20" i="13"/>
  <c r="W10" i="13" s="1"/>
  <c r="R17" i="13"/>
  <c r="W9" i="13" s="1"/>
  <c r="V25" i="13"/>
  <c r="R14" i="13"/>
  <c r="W8" i="13" s="1"/>
  <c r="W11" i="13"/>
  <c r="R11" i="13"/>
  <c r="W7" i="13" s="1"/>
  <c r="V23" i="13"/>
  <c r="V8" i="13"/>
  <c r="R8" i="13"/>
  <c r="W6" i="13" s="1"/>
  <c r="Q8" i="13"/>
  <c r="V6" i="13" s="1"/>
  <c r="V7" i="13"/>
  <c r="W27" i="12"/>
  <c r="W26" i="12"/>
  <c r="W25" i="12"/>
  <c r="W24" i="12"/>
  <c r="W23" i="12"/>
  <c r="V23" i="12"/>
  <c r="R23" i="12"/>
  <c r="W22" i="12"/>
  <c r="R20" i="12"/>
  <c r="W10" i="12" s="1"/>
  <c r="R17" i="12"/>
  <c r="W9" i="12" s="1"/>
  <c r="R14" i="12"/>
  <c r="W8" i="12" s="1"/>
  <c r="W11" i="12"/>
  <c r="R11" i="12"/>
  <c r="W7" i="12" s="1"/>
  <c r="V7" i="12"/>
  <c r="R8" i="12"/>
  <c r="W6" i="12" s="1"/>
  <c r="Q8" i="12"/>
  <c r="V22" i="12" s="1"/>
  <c r="V6" i="12"/>
  <c r="W27" i="11"/>
  <c r="W26" i="11"/>
  <c r="W25" i="11"/>
  <c r="W24" i="11"/>
  <c r="W23" i="11"/>
  <c r="V23" i="11"/>
  <c r="R23" i="11"/>
  <c r="W22" i="11"/>
  <c r="R20" i="11"/>
  <c r="W10" i="11" s="1"/>
  <c r="R17" i="11"/>
  <c r="W9" i="11" s="1"/>
  <c r="R14" i="11"/>
  <c r="W8" i="11" s="1"/>
  <c r="V8" i="11"/>
  <c r="W11" i="11"/>
  <c r="R11" i="11"/>
  <c r="W7" i="11" s="1"/>
  <c r="V7" i="11"/>
  <c r="R8" i="11"/>
  <c r="W6" i="11" s="1"/>
  <c r="Q8" i="11"/>
  <c r="V22" i="11" s="1"/>
  <c r="W27" i="10"/>
  <c r="W26" i="10"/>
  <c r="W25" i="10"/>
  <c r="R23" i="10"/>
  <c r="W11" i="10"/>
  <c r="Q8" i="10"/>
  <c r="V22" i="10" s="1"/>
  <c r="W27" i="9"/>
  <c r="W26" i="9"/>
  <c r="W25" i="9"/>
  <c r="W24" i="9"/>
  <c r="W23" i="9"/>
  <c r="R23" i="9"/>
  <c r="W22" i="9"/>
  <c r="R20" i="9"/>
  <c r="W10" i="9" s="1"/>
  <c r="R17" i="9"/>
  <c r="W9" i="9" s="1"/>
  <c r="R14" i="9"/>
  <c r="W8" i="9" s="1"/>
  <c r="W11" i="9"/>
  <c r="R11" i="9"/>
  <c r="W7" i="9" s="1"/>
  <c r="V8" i="9"/>
  <c r="Q8" i="9"/>
  <c r="V22" i="9" s="1"/>
  <c r="V6" i="9"/>
  <c r="W27" i="8"/>
  <c r="R23" i="8"/>
  <c r="R20" i="8"/>
  <c r="W10" i="8" s="1"/>
  <c r="W24" i="8"/>
  <c r="W11" i="8"/>
  <c r="Q8" i="8"/>
  <c r="M8" i="7"/>
  <c r="G20" i="7"/>
  <c r="Q8" i="7"/>
  <c r="Q8" i="6"/>
  <c r="Q8" i="5"/>
  <c r="Q17" i="5" s="1"/>
  <c r="V25" i="5" s="1"/>
  <c r="Q8" i="4"/>
  <c r="Q8" i="3"/>
  <c r="Q11" i="3"/>
  <c r="N7" i="3"/>
  <c r="M8" i="3" s="1"/>
  <c r="S20" i="7"/>
  <c r="W26" i="7" s="1"/>
  <c r="S17" i="7"/>
  <c r="W25" i="7" s="1"/>
  <c r="S14" i="7"/>
  <c r="W24" i="7" s="1"/>
  <c r="S11" i="7"/>
  <c r="W23" i="7" s="1"/>
  <c r="S8" i="7"/>
  <c r="W22" i="7" s="1"/>
  <c r="I20" i="7"/>
  <c r="I17" i="7"/>
  <c r="G17" i="7"/>
  <c r="K14" i="7"/>
  <c r="I14" i="7"/>
  <c r="G14" i="7"/>
  <c r="E14" i="7"/>
  <c r="M11" i="7"/>
  <c r="K11" i="7"/>
  <c r="I11" i="7"/>
  <c r="G11" i="7"/>
  <c r="E11" i="7"/>
  <c r="K8" i="7"/>
  <c r="I8" i="7"/>
  <c r="G8" i="7"/>
  <c r="E8" i="7"/>
  <c r="C8" i="7"/>
  <c r="Q11" i="7"/>
  <c r="Q14" i="7" s="1"/>
  <c r="L9" i="7"/>
  <c r="J9" i="7"/>
  <c r="H9" i="7"/>
  <c r="F9" i="7"/>
  <c r="W27" i="7"/>
  <c r="R23" i="7"/>
  <c r="W11" i="7" s="1"/>
  <c r="V22" i="7"/>
  <c r="V6" i="7"/>
  <c r="S20" i="6"/>
  <c r="W26" i="6" s="1"/>
  <c r="S17" i="6"/>
  <c r="W25" i="6" s="1"/>
  <c r="S14" i="6"/>
  <c r="W24" i="6" s="1"/>
  <c r="S11" i="6"/>
  <c r="W23" i="6" s="1"/>
  <c r="E20" i="6"/>
  <c r="I17" i="6"/>
  <c r="I14" i="6"/>
  <c r="G17" i="6"/>
  <c r="E17" i="6"/>
  <c r="C17" i="6"/>
  <c r="G14" i="6"/>
  <c r="E14" i="6"/>
  <c r="C14" i="6"/>
  <c r="M11" i="6"/>
  <c r="K11" i="6"/>
  <c r="I11" i="6"/>
  <c r="G11" i="6"/>
  <c r="D9" i="6"/>
  <c r="F9" i="6"/>
  <c r="L9" i="6"/>
  <c r="H12" i="6" s="1"/>
  <c r="H9" i="6"/>
  <c r="E11" i="6"/>
  <c r="C11" i="6"/>
  <c r="M8" i="6"/>
  <c r="K8" i="6"/>
  <c r="I8" i="6"/>
  <c r="G8" i="6"/>
  <c r="E8" i="6"/>
  <c r="C8" i="6"/>
  <c r="R23" i="6"/>
  <c r="Q11" i="6"/>
  <c r="Q14" i="6" s="1"/>
  <c r="W27" i="6"/>
  <c r="V22" i="6"/>
  <c r="W11" i="6"/>
  <c r="V7" i="6"/>
  <c r="V6" i="6"/>
  <c r="S17" i="5"/>
  <c r="W25" i="5" s="1"/>
  <c r="M17" i="5"/>
  <c r="K17" i="5"/>
  <c r="I17" i="5"/>
  <c r="M14" i="5"/>
  <c r="K14" i="5"/>
  <c r="I14" i="5"/>
  <c r="K11" i="5"/>
  <c r="M11" i="5"/>
  <c r="I11" i="5"/>
  <c r="C11" i="5"/>
  <c r="L9" i="5"/>
  <c r="J9" i="5"/>
  <c r="H9" i="5"/>
  <c r="D9" i="5"/>
  <c r="M8" i="5"/>
  <c r="K8" i="5"/>
  <c r="I8" i="5"/>
  <c r="G8" i="5"/>
  <c r="C8" i="5"/>
  <c r="W27" i="5"/>
  <c r="W11" i="5"/>
  <c r="V27" i="5"/>
  <c r="W26" i="5"/>
  <c r="R20" i="5"/>
  <c r="W10" i="5" s="1"/>
  <c r="S20" i="4"/>
  <c r="W26" i="4" s="1"/>
  <c r="R23" i="4"/>
  <c r="I20" i="4"/>
  <c r="G20" i="4"/>
  <c r="R20" i="4" s="1"/>
  <c r="W10" i="4" s="1"/>
  <c r="S17" i="4"/>
  <c r="W25" i="4" s="1"/>
  <c r="K17" i="4"/>
  <c r="I17" i="4"/>
  <c r="G17" i="4"/>
  <c r="S14" i="4"/>
  <c r="W24" i="4" s="1"/>
  <c r="K14" i="4"/>
  <c r="I14" i="4"/>
  <c r="G14" i="4"/>
  <c r="E14" i="4"/>
  <c r="R14" i="4" s="1"/>
  <c r="W8" i="4" s="1"/>
  <c r="S11" i="4"/>
  <c r="W23" i="4" s="1"/>
  <c r="S8" i="4"/>
  <c r="W22" i="4" s="1"/>
  <c r="M11" i="4"/>
  <c r="K11" i="4"/>
  <c r="I11" i="4"/>
  <c r="G11" i="4"/>
  <c r="E11" i="4"/>
  <c r="L9" i="4"/>
  <c r="J9" i="4"/>
  <c r="H9" i="4"/>
  <c r="F9" i="4"/>
  <c r="M8" i="4"/>
  <c r="K8" i="4"/>
  <c r="I8" i="4"/>
  <c r="G8" i="4"/>
  <c r="E8" i="4"/>
  <c r="C8" i="4"/>
  <c r="Q23" i="4"/>
  <c r="V27" i="4" s="1"/>
  <c r="Q20" i="4"/>
  <c r="V10" i="4" s="1"/>
  <c r="Q17" i="4"/>
  <c r="Q14" i="4"/>
  <c r="Q11" i="4"/>
  <c r="V22" i="3"/>
  <c r="W27" i="4"/>
  <c r="V22" i="4"/>
  <c r="W11" i="4"/>
  <c r="V6" i="4"/>
  <c r="W27" i="3"/>
  <c r="W26" i="3"/>
  <c r="W25" i="3"/>
  <c r="V27" i="3"/>
  <c r="V26" i="3"/>
  <c r="W11" i="3"/>
  <c r="W10" i="3"/>
  <c r="W9" i="3"/>
  <c r="V11" i="3"/>
  <c r="V10" i="3"/>
  <c r="V6" i="3"/>
  <c r="E14" i="3"/>
  <c r="I11" i="3"/>
  <c r="L7" i="3"/>
  <c r="K8" i="3" s="1"/>
  <c r="F7" i="3"/>
  <c r="E8" i="3" s="1"/>
  <c r="D7" i="3"/>
  <c r="C8" i="3" s="1"/>
  <c r="V6" i="16" l="1"/>
  <c r="W25" i="16"/>
  <c r="W24" i="16"/>
  <c r="R20" i="16"/>
  <c r="W10" i="16" s="1"/>
  <c r="W22" i="16"/>
  <c r="R11" i="16"/>
  <c r="W7" i="16" s="1"/>
  <c r="W26" i="16"/>
  <c r="W23" i="16"/>
  <c r="I17" i="10"/>
  <c r="R17" i="10" s="1"/>
  <c r="W9" i="10" s="1"/>
  <c r="G20" i="10"/>
  <c r="R20" i="10" s="1"/>
  <c r="W10" i="10" s="1"/>
  <c r="K17" i="10"/>
  <c r="J9" i="10"/>
  <c r="J12" i="10" s="1"/>
  <c r="Q11" i="10"/>
  <c r="Q14" i="10" s="1"/>
  <c r="R8" i="10"/>
  <c r="W6" i="10" s="1"/>
  <c r="S8" i="10"/>
  <c r="W22" i="10" s="1"/>
  <c r="E11" i="10"/>
  <c r="I11" i="10"/>
  <c r="F9" i="10"/>
  <c r="D9" i="10"/>
  <c r="E8" i="10"/>
  <c r="G11" i="10"/>
  <c r="R11" i="10" s="1"/>
  <c r="W7" i="10" s="1"/>
  <c r="H9" i="10"/>
  <c r="G8" i="10"/>
  <c r="G14" i="10"/>
  <c r="R14" i="10" s="1"/>
  <c r="W8" i="10" s="1"/>
  <c r="F12" i="10"/>
  <c r="R8" i="9"/>
  <c r="W6" i="9" s="1"/>
  <c r="E11" i="3"/>
  <c r="S11" i="3"/>
  <c r="W23" i="3" s="1"/>
  <c r="H7" i="3"/>
  <c r="G8" i="3" s="1"/>
  <c r="J7" i="3"/>
  <c r="I8" i="3" s="1"/>
  <c r="G14" i="3"/>
  <c r="J9" i="3"/>
  <c r="G11" i="3"/>
  <c r="Q14" i="3"/>
  <c r="V24" i="3" s="1"/>
  <c r="K11" i="3"/>
  <c r="S14" i="3"/>
  <c r="W24" i="3" s="1"/>
  <c r="Q20" i="5"/>
  <c r="V26" i="5" s="1"/>
  <c r="L12" i="5"/>
  <c r="E8" i="5"/>
  <c r="G14" i="5"/>
  <c r="S8" i="5"/>
  <c r="W22" i="5" s="1"/>
  <c r="J12" i="5"/>
  <c r="S11" i="5"/>
  <c r="W23" i="5" s="1"/>
  <c r="S14" i="5"/>
  <c r="W24" i="5" s="1"/>
  <c r="H12" i="5"/>
  <c r="Q11" i="5"/>
  <c r="V23" i="5" s="1"/>
  <c r="V6" i="5"/>
  <c r="V22" i="5"/>
  <c r="Q14" i="5"/>
  <c r="V24" i="5" s="1"/>
  <c r="V6" i="15"/>
  <c r="V22" i="14"/>
  <c r="V22" i="13"/>
  <c r="V6" i="11"/>
  <c r="V6" i="10"/>
  <c r="V7" i="9"/>
  <c r="V9" i="15"/>
  <c r="V25" i="15"/>
  <c r="V8" i="15"/>
  <c r="V8" i="14"/>
  <c r="V9" i="13"/>
  <c r="V9" i="12"/>
  <c r="V25" i="12"/>
  <c r="V24" i="12"/>
  <c r="V8" i="12"/>
  <c r="V24" i="11"/>
  <c r="V9" i="9"/>
  <c r="V25" i="9"/>
  <c r="V24" i="9"/>
  <c r="V6" i="8"/>
  <c r="V22" i="8"/>
  <c r="V7" i="8"/>
  <c r="V23" i="8"/>
  <c r="R11" i="8"/>
  <c r="W7" i="8" s="1"/>
  <c r="R14" i="8"/>
  <c r="W8" i="8" s="1"/>
  <c r="W26" i="8"/>
  <c r="R17" i="8"/>
  <c r="W9" i="8" s="1"/>
  <c r="F12" i="7"/>
  <c r="H12" i="7"/>
  <c r="J12" i="7"/>
  <c r="J15" i="7" s="1"/>
  <c r="R14" i="7"/>
  <c r="W8" i="7" s="1"/>
  <c r="K17" i="7"/>
  <c r="R17" i="7" s="1"/>
  <c r="W9" i="7" s="1"/>
  <c r="R20" i="7"/>
  <c r="W10" i="7" s="1"/>
  <c r="H15" i="7"/>
  <c r="H18" i="7" s="1"/>
  <c r="Q17" i="7"/>
  <c r="Q20" i="7" s="1"/>
  <c r="Q23" i="7" s="1"/>
  <c r="D12" i="6"/>
  <c r="F12" i="6"/>
  <c r="H15" i="6" s="1"/>
  <c r="S8" i="6"/>
  <c r="W22" i="6" s="1"/>
  <c r="R17" i="6"/>
  <c r="W9" i="6" s="1"/>
  <c r="C20" i="6"/>
  <c r="R20" i="6" s="1"/>
  <c r="W10" i="6" s="1"/>
  <c r="D15" i="6"/>
  <c r="D18" i="6" s="1"/>
  <c r="V24" i="6"/>
  <c r="Q17" i="6"/>
  <c r="V25" i="6" s="1"/>
  <c r="V8" i="6"/>
  <c r="R17" i="5"/>
  <c r="W9" i="5" s="1"/>
  <c r="J15" i="5"/>
  <c r="L15" i="5"/>
  <c r="R11" i="5"/>
  <c r="W7" i="5" s="1"/>
  <c r="J12" i="4"/>
  <c r="F12" i="4"/>
  <c r="H12" i="4"/>
  <c r="V11" i="4"/>
  <c r="V26" i="4"/>
  <c r="F12" i="3"/>
  <c r="V7" i="3"/>
  <c r="V23" i="3"/>
  <c r="V7" i="7"/>
  <c r="V23" i="7"/>
  <c r="R8" i="7"/>
  <c r="W6" i="7" s="1"/>
  <c r="R11" i="7"/>
  <c r="W7" i="7" s="1"/>
  <c r="V8" i="7"/>
  <c r="V24" i="7"/>
  <c r="R14" i="6"/>
  <c r="W8" i="6" s="1"/>
  <c r="R8" i="6"/>
  <c r="W6" i="6" s="1"/>
  <c r="R11" i="6"/>
  <c r="W7" i="6" s="1"/>
  <c r="V23" i="6"/>
  <c r="R14" i="5"/>
  <c r="W8" i="5" s="1"/>
  <c r="R8" i="5"/>
  <c r="W6" i="5" s="1"/>
  <c r="V9" i="5"/>
  <c r="V10" i="5"/>
  <c r="V11" i="5"/>
  <c r="R17" i="4"/>
  <c r="W9" i="4" s="1"/>
  <c r="V7" i="4"/>
  <c r="R11" i="4"/>
  <c r="W7" i="4" s="1"/>
  <c r="V24" i="4"/>
  <c r="V8" i="4"/>
  <c r="V23" i="4"/>
  <c r="R8" i="4"/>
  <c r="W6" i="4" s="1"/>
  <c r="V25" i="4"/>
  <c r="V9" i="4"/>
  <c r="R8" i="3"/>
  <c r="W6" i="3" s="1"/>
  <c r="R17" i="16" l="1"/>
  <c r="W9" i="16" s="1"/>
  <c r="R8" i="16"/>
  <c r="W6" i="16" s="1"/>
  <c r="R14" i="16"/>
  <c r="W8" i="16" s="1"/>
  <c r="V7" i="16"/>
  <c r="V23" i="16"/>
  <c r="H12" i="10"/>
  <c r="J15" i="10"/>
  <c r="Q17" i="10"/>
  <c r="Q20" i="10" s="1"/>
  <c r="H15" i="10"/>
  <c r="H18" i="10" s="1"/>
  <c r="Q17" i="3"/>
  <c r="V8" i="3"/>
  <c r="V7" i="5"/>
  <c r="V8" i="5"/>
  <c r="V26" i="15"/>
  <c r="V10" i="15"/>
  <c r="V9" i="14"/>
  <c r="V25" i="14"/>
  <c r="V26" i="13"/>
  <c r="V10" i="13"/>
  <c r="V10" i="12"/>
  <c r="V26" i="12"/>
  <c r="V9" i="11"/>
  <c r="V25" i="11"/>
  <c r="V7" i="10"/>
  <c r="V23" i="10"/>
  <c r="V10" i="9"/>
  <c r="V26" i="9"/>
  <c r="V8" i="8"/>
  <c r="V24" i="8"/>
  <c r="R8" i="8"/>
  <c r="W6" i="8" s="1"/>
  <c r="V9" i="6"/>
  <c r="Q20" i="6"/>
  <c r="J15" i="4"/>
  <c r="H15" i="4"/>
  <c r="H18" i="4" s="1"/>
  <c r="V25" i="7"/>
  <c r="V9" i="7"/>
  <c r="R11" i="3"/>
  <c r="R14" i="3"/>
  <c r="W8" i="3" s="1"/>
  <c r="V8" i="16" l="1"/>
  <c r="V24" i="16"/>
  <c r="Q23" i="10"/>
  <c r="V25" i="3"/>
  <c r="V9" i="3"/>
  <c r="V27" i="15"/>
  <c r="V11" i="15"/>
  <c r="V10" i="14"/>
  <c r="V26" i="14"/>
  <c r="V27" i="13"/>
  <c r="V11" i="13"/>
  <c r="V27" i="12"/>
  <c r="V11" i="12"/>
  <c r="V10" i="11"/>
  <c r="V26" i="11"/>
  <c r="V24" i="10"/>
  <c r="V8" i="10"/>
  <c r="V27" i="9"/>
  <c r="V11" i="9"/>
  <c r="V9" i="8"/>
  <c r="V25" i="8"/>
  <c r="V26" i="6"/>
  <c r="Q23" i="6"/>
  <c r="V10" i="6"/>
  <c r="V10" i="7"/>
  <c r="V26" i="7"/>
  <c r="R17" i="3"/>
  <c r="V9" i="16" l="1"/>
  <c r="V25" i="16"/>
  <c r="V27" i="14"/>
  <c r="V11" i="14"/>
  <c r="V27" i="11"/>
  <c r="V11" i="11"/>
  <c r="V25" i="10"/>
  <c r="V9" i="10"/>
  <c r="V26" i="8"/>
  <c r="V10" i="8"/>
  <c r="V27" i="6"/>
  <c r="V11" i="6"/>
  <c r="V11" i="7"/>
  <c r="V27" i="7"/>
  <c r="V26" i="16" l="1"/>
  <c r="V10" i="16"/>
  <c r="V26" i="10"/>
  <c r="V10" i="10"/>
  <c r="V11" i="8"/>
  <c r="V27" i="8"/>
  <c r="V27" i="16" l="1"/>
  <c r="V11" i="16"/>
  <c r="V11" i="10"/>
  <c r="V2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tc={4E017EC6-C420-4A9D-90E6-CE489B2D7A81}</author>
    <author>tc={9DE4FD2B-168A-4A5A-A3BD-4B482A65A460}</author>
    <author>tc={78AD111B-FD4D-4D7F-9AB9-0FE2F20403DC}</author>
  </authors>
  <commentList>
    <comment ref="S5" authorId="0" shapeId="0" xr:uid="{E870EBBA-57CC-294C-B762-D80FBBF86B24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  <comment ref="N7" authorId="1" shapeId="0" xr:uid="{238797BC-75D6-9340-8CB1-55D92A5042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this is needed</t>
      </text>
    </comment>
    <comment ref="Q8" authorId="2" shapeId="0" xr:uid="{C8F51038-61D9-E042-B9B8-BA57D1380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Stage height at bankfull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tc={4E017EC6-C420-4A9E-90E6-CE489B2D7A81}</author>
  </authors>
  <commentList>
    <comment ref="S5" authorId="0" shapeId="0" xr:uid="{E53AD6C0-4F5B-2E4F-B366-C352B390B9D0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 Herrmann</author>
    <author>tc={4E017EC6-C420-4A9F-90E6-CE489B2D7A81}</author>
  </authors>
  <commentList>
    <comment ref="AL3" authorId="0" shapeId="0" xr:uid="{1DC9AEFD-5BB5-0242-9337-E3033AB1E4E3}">
      <text>
        <r>
          <rPr>
            <b/>
            <sz val="10"/>
            <color rgb="FF000000"/>
            <rFont val="Tahoma"/>
            <family val="2"/>
          </rPr>
          <t>Jessica Herrmann: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sure this second regression fits because it means WP decreases slightly as transducer depth increases.</t>
        </r>
      </text>
    </comment>
    <comment ref="S5" authorId="1" shapeId="0" xr:uid="{0246D1EF-42CA-E146-84C2-6BDE2DC16264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tc={7C792DA9-5593-354A-A787-53B4BEB2E7B0}</author>
  </authors>
  <commentList>
    <comment ref="S5" authorId="0" shapeId="0" xr:uid="{7C792DA9-5593-354A-A787-53B4BEB2E7B0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tc={04994404-2927-8947-805C-25A871300F88}</author>
  </authors>
  <commentList>
    <comment ref="S5" authorId="0" shapeId="0" xr:uid="{04994404-2927-8947-805C-25A871300F88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tc={FC9B04D2-C92E-A64A-91AF-99A4C5AE3A83}</author>
  </authors>
  <commentList>
    <comment ref="S5" authorId="0" shapeId="0" xr:uid="{FC9B04D2-C92E-A64A-91AF-99A4C5AE3A83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tc={F4187ED6-D75D-9042-B7A0-A7D5000512C9}</author>
  </authors>
  <commentList>
    <comment ref="S5" authorId="0" shapeId="0" xr:uid="{F4187ED6-D75D-9042-B7A0-A7D5000512C9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tc={54736422-1F14-6D44-8393-C848121CB8A5}</author>
  </authors>
  <commentList>
    <comment ref="S5" authorId="0" shapeId="0" xr:uid="{54736422-1F14-6D44-8393-C848121CB8A5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tc={CAA764DC-2AF9-5B49-A008-A485F0C3D641}</author>
  </authors>
  <commentList>
    <comment ref="S5" authorId="0" shapeId="0" xr:uid="{CAA764DC-2AF9-5B49-A008-A485F0C3D641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tc={20B23994-E5F1-E149-974F-E48FE058FE64}</author>
  </authors>
  <commentList>
    <comment ref="S5" authorId="0" shapeId="0" xr:uid="{20B23994-E5F1-E149-974F-E48FE058FE64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tc={673FA747-234F-AF42-A568-CDE548D19F72}</author>
  </authors>
  <commentList>
    <comment ref="S5" authorId="0" shapeId="0" xr:uid="{673FA747-234F-AF42-A568-CDE548D19F72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tc={A6CD65F2-196F-504F-8AF7-6DE6525AC746}</author>
  </authors>
  <commentList>
    <comment ref="S5" authorId="0" shapeId="0" xr:uid="{A6CD65F2-196F-504F-8AF7-6DE6525AC74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tc={F823488A-3FB7-924E-9A22-3CE6B6BB2B18}</author>
  </authors>
  <commentList>
    <comment ref="S5" authorId="0" shapeId="0" xr:uid="{F823488A-3FB7-924E-9A22-3CE6B6BB2B18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tc={4664875C-80FE-0A40-BA46-AE88C023CCD5}</author>
  </authors>
  <commentList>
    <comment ref="S5" authorId="0" shapeId="0" xr:uid="{4664875C-80FE-0A40-BA46-AE88C023CCD5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Hand-calculated</t>
      </text>
    </comment>
  </commentList>
</comments>
</file>

<file path=xl/sharedStrings.xml><?xml version="1.0" encoding="utf-8"?>
<sst xmlns="http://schemas.openxmlformats.org/spreadsheetml/2006/main" count="557" uniqueCount="140">
  <si>
    <t>d1</t>
  </si>
  <si>
    <t>d2</t>
  </si>
  <si>
    <t>d3</t>
  </si>
  <si>
    <t>d4</t>
  </si>
  <si>
    <t>d5</t>
  </si>
  <si>
    <t>wetted_perim</t>
  </si>
  <si>
    <t>cross_sectional_area</t>
  </si>
  <si>
    <t>transducer_depth</t>
  </si>
  <si>
    <t>x1</t>
  </si>
  <si>
    <t>x2</t>
  </si>
  <si>
    <t>x3</t>
  </si>
  <si>
    <t>x4</t>
  </si>
  <si>
    <t>x5</t>
  </si>
  <si>
    <t>x6</t>
  </si>
  <si>
    <t>Starting wetted</t>
  </si>
  <si>
    <t>Left_bank</t>
  </si>
  <si>
    <t>p1</t>
  </si>
  <si>
    <t>p2</t>
  </si>
  <si>
    <t>p3</t>
  </si>
  <si>
    <t>p4</t>
  </si>
  <si>
    <t>p5</t>
  </si>
  <si>
    <t>p6</t>
  </si>
  <si>
    <t>Right_bank</t>
  </si>
  <si>
    <t>TDepth</t>
  </si>
  <si>
    <t>WP</t>
  </si>
  <si>
    <t>at bankfull</t>
  </si>
  <si>
    <t>when d1 = 0</t>
  </si>
  <si>
    <t>when d5 = 0</t>
  </si>
  <si>
    <t>when d4 = 0</t>
  </si>
  <si>
    <t>when d3 = 0</t>
  </si>
  <si>
    <t>when d2 = 0</t>
  </si>
  <si>
    <t>CSA</t>
  </si>
  <si>
    <t>Recalculate the segement length of the wetted width</t>
  </si>
  <si>
    <t>width segments (at bankfull):</t>
  </si>
  <si>
    <t>Transducer starting depth was 19 cm (h(0)). THe height from there to bankfull was 71 cm (L).</t>
  </si>
  <si>
    <t>NOTE - Transducer depth at BF = L + h(0) = 19 + 71 =  90 cm</t>
  </si>
  <si>
    <t xml:space="preserve"> Transducer depth at bankfull = L + h(0) = 52 + 32 = 84 cm</t>
  </si>
  <si>
    <t xml:space="preserve"> Transducer depth at bankfull = L + h(0) = 58 + 12 = 70 cm</t>
  </si>
  <si>
    <t>L</t>
  </si>
  <si>
    <t>h(0)</t>
  </si>
  <si>
    <r>
      <t>y = 0.0002x</t>
    </r>
    <r>
      <rPr>
        <vertAlign val="superscript"/>
        <sz val="9"/>
        <color rgb="FF595959"/>
        <rFont val="Calibri"/>
        <family val="2"/>
        <scheme val="minor"/>
      </rPr>
      <t>4</t>
    </r>
    <r>
      <rPr>
        <sz val="9"/>
        <color rgb="FF595959"/>
        <rFont val="Calibri"/>
        <family val="2"/>
        <scheme val="minor"/>
      </rPr>
      <t xml:space="preserve"> - 0.0139x</t>
    </r>
    <r>
      <rPr>
        <vertAlign val="superscript"/>
        <sz val="9"/>
        <color rgb="FF595959"/>
        <rFont val="Calibri"/>
        <family val="2"/>
        <scheme val="minor"/>
      </rPr>
      <t>3</t>
    </r>
    <r>
      <rPr>
        <sz val="9"/>
        <color rgb="FF595959"/>
        <rFont val="Calibri"/>
        <family val="2"/>
        <scheme val="minor"/>
      </rPr>
      <t xml:space="preserve"> + 0.4598x</t>
    </r>
    <r>
      <rPr>
        <vertAlign val="superscript"/>
        <sz val="9"/>
        <color rgb="FF595959"/>
        <rFont val="Calibri"/>
        <family val="2"/>
        <scheme val="minor"/>
      </rPr>
      <t>2</t>
    </r>
    <r>
      <rPr>
        <sz val="9"/>
        <color rgb="FF595959"/>
        <rFont val="Calibri"/>
        <family val="2"/>
        <scheme val="minor"/>
      </rPr>
      <t xml:space="preserve"> + 513.49x + 23665</t>
    </r>
  </si>
  <si>
    <t>R² = 1</t>
  </si>
  <si>
    <r>
      <t>y = -0.0236x</t>
    </r>
    <r>
      <rPr>
        <vertAlign val="superscript"/>
        <sz val="9"/>
        <color rgb="FF595959"/>
        <rFont val="Calibri"/>
        <family val="2"/>
        <scheme val="minor"/>
      </rPr>
      <t>2</t>
    </r>
    <r>
      <rPr>
        <sz val="9"/>
        <color rgb="FF595959"/>
        <rFont val="Calibri"/>
        <family val="2"/>
        <scheme val="minor"/>
      </rPr>
      <t xml:space="preserve"> + 4.6381x + 534.69</t>
    </r>
  </si>
  <si>
    <t>R² = 0.9154</t>
  </si>
  <si>
    <r>
      <t>y = -0.0436x</t>
    </r>
    <r>
      <rPr>
        <vertAlign val="superscript"/>
        <sz val="9"/>
        <color rgb="FF595959"/>
        <rFont val="Calibri"/>
        <family val="2"/>
        <scheme val="minor"/>
      </rPr>
      <t>2</t>
    </r>
    <r>
      <rPr>
        <sz val="9"/>
        <color rgb="FF595959"/>
        <rFont val="Calibri"/>
        <family val="2"/>
        <scheme val="minor"/>
      </rPr>
      <t xml:space="preserve"> + 12.034x + 35.957</t>
    </r>
  </si>
  <si>
    <t>R² = 0.9669</t>
  </si>
  <si>
    <r>
      <t>y = 1.3076x</t>
    </r>
    <r>
      <rPr>
        <vertAlign val="superscript"/>
        <sz val="9"/>
        <color rgb="FF595959"/>
        <rFont val="Calibri"/>
        <family val="2"/>
        <scheme val="minor"/>
      </rPr>
      <t>2</t>
    </r>
    <r>
      <rPr>
        <sz val="9"/>
        <color rgb="FF595959"/>
        <rFont val="Calibri"/>
        <family val="2"/>
        <scheme val="minor"/>
      </rPr>
      <t xml:space="preserve"> + 73.342x + 447.54</t>
    </r>
  </si>
  <si>
    <t>Site</t>
  </si>
  <si>
    <t>SHADY</t>
  </si>
  <si>
    <t>DC116</t>
  </si>
  <si>
    <t>DC20</t>
  </si>
  <si>
    <t>DC10</t>
  </si>
  <si>
    <t>BR55</t>
  </si>
  <si>
    <t>EFAR</t>
  </si>
  <si>
    <t>MON</t>
  </si>
  <si>
    <t>GSW</t>
  </si>
  <si>
    <t>NFFR</t>
  </si>
  <si>
    <t>MAR</t>
  </si>
  <si>
    <t>CAT</t>
  </si>
  <si>
    <t>BUT</t>
  </si>
  <si>
    <t>WBUT</t>
  </si>
  <si>
    <t>MCL</t>
  </si>
  <si>
    <t>VARIABLES</t>
  </si>
  <si>
    <r>
      <t>CSA.SHADY = 1.3076h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+ 73.342h + 447.54</t>
    </r>
  </si>
  <si>
    <r>
      <t>CSA.DC116 = 0.0002h</t>
    </r>
    <r>
      <rPr>
        <vertAlign val="superscript"/>
        <sz val="16"/>
        <color theme="1"/>
        <rFont val="Times New Roman"/>
        <family val="1"/>
      </rPr>
      <t>4</t>
    </r>
    <r>
      <rPr>
        <sz val="16"/>
        <color theme="1"/>
        <rFont val="Times New Roman"/>
        <family val="1"/>
      </rPr>
      <t xml:space="preserve"> - 0.0139h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+ 0.4598h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+ 513.49h + 23665</t>
    </r>
  </si>
  <si>
    <r>
      <t>CSA.DC20 = -0.0885h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+ 14.053h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+ 281.56h + 842.56</t>
    </r>
  </si>
  <si>
    <r>
      <t>CSA.DC10 = 0.0079h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+ 2.4656h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+ 247.86h + 8289.9</t>
    </r>
  </si>
  <si>
    <r>
      <t>CSA.BR55 = -0.0472h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+ 8.4298h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+ 196.07h + 1090.7</t>
    </r>
  </si>
  <si>
    <r>
      <t>CSA.EFAR = -0.0245h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+ 6.8857h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+ 124.37h + 673.57</t>
    </r>
  </si>
  <si>
    <r>
      <t>CSA.MON = 0.006h</t>
    </r>
    <r>
      <rPr>
        <vertAlign val="superscript"/>
        <sz val="16"/>
        <color theme="1"/>
        <rFont val="Times New Roman"/>
        <family val="1"/>
      </rPr>
      <t>4</t>
    </r>
    <r>
      <rPr>
        <sz val="16"/>
        <color theme="1"/>
        <rFont val="Times New Roman"/>
        <family val="1"/>
      </rPr>
      <t xml:space="preserve"> - 0.4309h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+ 13.738h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+ 187.57h + 461.77</t>
    </r>
  </si>
  <si>
    <r>
      <t>CSA.GSW = -0.0694h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+ 8.5316h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- 0.8675h - 17.619</t>
    </r>
  </si>
  <si>
    <r>
      <t>CSA.NFFR = 0.1035h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- 5.5613h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+ 646.81h + 11607</t>
    </r>
  </si>
  <si>
    <r>
      <t>CSA.MAR = 0.0006h</t>
    </r>
    <r>
      <rPr>
        <vertAlign val="superscript"/>
        <sz val="16"/>
        <color theme="1"/>
        <rFont val="Times New Roman"/>
        <family val="1"/>
      </rPr>
      <t>4</t>
    </r>
    <r>
      <rPr>
        <sz val="16"/>
        <color theme="1"/>
        <rFont val="Times New Roman"/>
        <family val="1"/>
      </rPr>
      <t xml:space="preserve"> - 0.0737h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+ 4.6675h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+ 96.475h + 250.65</t>
    </r>
  </si>
  <si>
    <r>
      <t>CSA.CAT = 2.237h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+ 285.09h + 7401</t>
    </r>
  </si>
  <si>
    <r>
      <t>CSA.BUT = 5.0538h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+ 648.17h + 6798.8</t>
    </r>
  </si>
  <si>
    <r>
      <t>CSA.WBUT = -0.0003h</t>
    </r>
    <r>
      <rPr>
        <vertAlign val="superscript"/>
        <sz val="16"/>
        <color theme="1"/>
        <rFont val="Times New Roman"/>
        <family val="1"/>
      </rPr>
      <t>4</t>
    </r>
    <r>
      <rPr>
        <sz val="16"/>
        <color theme="1"/>
        <rFont val="Times New Roman"/>
        <family val="1"/>
      </rPr>
      <t xml:space="preserve"> + 0.0445h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+ 1.1027h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+ 46.012h + 841.3</t>
    </r>
  </si>
  <si>
    <r>
      <t>CSA.MCL = -0.0582h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+ 12.539h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+ 323.06h + 2067.7</t>
    </r>
  </si>
  <si>
    <r>
      <t>WP.SHADY = -0.0436h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+ 12.034h + 35.957</t>
    </r>
  </si>
  <si>
    <r>
      <t>WP.DC116 = -0.0236h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+ 4.6381h + 534.69</t>
    </r>
  </si>
  <si>
    <t>WP.DC20 = 12.211h + 338.14</t>
  </si>
  <si>
    <r>
      <t>WP.BR55 = -0.052h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+ 11.559h + 189.75</t>
    </r>
  </si>
  <si>
    <r>
      <t>WP.EFAR = -0.0506h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+ 12.198h + 160.69</t>
    </r>
  </si>
  <si>
    <r>
      <t>WP.MON = -0.0014h</t>
    </r>
    <r>
      <rPr>
        <vertAlign val="superscript"/>
        <sz val="16"/>
        <color theme="1"/>
        <rFont val="Times New Roman"/>
        <family val="1"/>
      </rPr>
      <t>4</t>
    </r>
    <r>
      <rPr>
        <sz val="16"/>
        <color theme="1"/>
        <rFont val="Times New Roman"/>
        <family val="1"/>
      </rPr>
      <t xml:space="preserve"> + 0.111h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- 2.8422h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+ 34.473h + 194.9</t>
    </r>
  </si>
  <si>
    <r>
      <t>WP.GSW = -0.1495h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+ 15.135h + 20.284</t>
    </r>
  </si>
  <si>
    <r>
      <t>WP.NFFR = -0.0003h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+ 0.1416h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+ 15.192h + 286.68</t>
    </r>
  </si>
  <si>
    <r>
      <t>WP.CAT = 0.0013h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- 0.1165h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+ 4.029h + 401.13</t>
    </r>
  </si>
  <si>
    <r>
      <t>WP.BUT = 0.0032h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- 0.6757h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+ 42.024h + 652.75</t>
    </r>
  </si>
  <si>
    <t>WP.MCL = 6.863h + 413.17</t>
  </si>
  <si>
    <r>
      <t>WP.DC10 = 0.00007h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+ 0.0203h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+ 5.0659h + 524.35</t>
    </r>
  </si>
  <si>
    <r>
      <t>WP.MAR = 0.000006h</t>
    </r>
    <r>
      <rPr>
        <vertAlign val="superscript"/>
        <sz val="16"/>
        <color theme="1"/>
        <rFont val="Times New Roman"/>
        <family val="1"/>
      </rPr>
      <t>4</t>
    </r>
    <r>
      <rPr>
        <sz val="16"/>
        <color theme="1"/>
        <rFont val="Times New Roman"/>
        <family val="1"/>
      </rPr>
      <t xml:space="preserve"> - 0.0012h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+ 0.0791h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+ 6.0092h + 62.038</t>
    </r>
  </si>
  <si>
    <r>
      <t>WP.WBUT = -0.00006h</t>
    </r>
    <r>
      <rPr>
        <vertAlign val="superscript"/>
        <sz val="16"/>
        <color theme="1"/>
        <rFont val="Times New Roman"/>
        <family val="1"/>
      </rPr>
      <t>3</t>
    </r>
    <r>
      <rPr>
        <sz val="16"/>
        <color theme="1"/>
        <rFont val="Times New Roman"/>
        <family val="1"/>
      </rPr>
      <t xml:space="preserve"> + 0.0126h</t>
    </r>
    <r>
      <rPr>
        <vertAlign val="super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+ 3.6795h + 99.273</t>
    </r>
  </si>
  <si>
    <t>Logger_SN</t>
  </si>
  <si>
    <t>h_0</t>
  </si>
  <si>
    <t>WP_r2</t>
  </si>
  <si>
    <t>CSA_r2</t>
  </si>
  <si>
    <t>Start_Date</t>
  </si>
  <si>
    <t>S</t>
  </si>
  <si>
    <t>n</t>
  </si>
  <si>
    <t>READ ME</t>
  </si>
  <si>
    <t>CONTENTS</t>
  </si>
  <si>
    <t>ADDITIONAL RESOURCES</t>
  </si>
  <si>
    <t>Raw stage data (directly from HOBO loggers) will need to be compensated for barometric pressure, either from the paired baro loggers deployed in the field or from a nearby NOAA station/airport/etc.</t>
  </si>
  <si>
    <t>Refer "Deployment Schedule" under to this document to check which water level loggers were deployed with a baro logger and which loggers require external baro pressure data.</t>
  </si>
  <si>
    <t>It is very important to do this step before using the water level data.</t>
  </si>
  <si>
    <t>Also note that "h_0" or h(0) is the starting water level over each level logger, which you will need to manually input in HOBOware in order to do the barometric compensation.</t>
  </si>
  <si>
    <t>Here are some helpful resources for prepping stage data from HOBO loggers:</t>
  </si>
  <si>
    <t>Barometric compensation user guide</t>
  </si>
  <si>
    <t>SOP for barometric pressure compensation without a baro logger</t>
  </si>
  <si>
    <t>Video for barometric compensation in HOBOware</t>
  </si>
  <si>
    <t>Notes on units of measure – Depths and measurements are in cm. Average velocity has been converted from m/s to cm/s.</t>
  </si>
  <si>
    <t>Individual Calculations by Site</t>
  </si>
  <si>
    <t>– JH, 19th February, 2026</t>
  </si>
  <si>
    <t>Final table of site-specific regression models for estimating wetted perimeter and cross-sectional area, given stage height data.</t>
  </si>
  <si>
    <t>Each tab contains detailed calculations for deriving bespoke regression models by site.</t>
  </si>
  <si>
    <t>Method modified from Bruce Medhurst's (ebbnflow@yahoo.com) methods for estimating streamflow, as well as conversations with Poyom Riles (poyom@sierrastreamsinstitute.org).</t>
  </si>
  <si>
    <t>This document contains calculations for estimating wetted perimeter and cross-sectional area from stage data offloaded from the HOBO loggers set up during summer 2025 for the Delta project.</t>
  </si>
  <si>
    <t>The estimated WP and CSA are then used to estimate streamflow at each of these sites, using Manning's equation.</t>
  </si>
  <si>
    <t>Manning's Equation</t>
  </si>
  <si>
    <t>Q = (1.49/n)(CSA)(R^2/3)(S^1/2)</t>
  </si>
  <si>
    <t>Final Models</t>
  </si>
  <si>
    <t>R</t>
  </si>
  <si>
    <t xml:space="preserve"> </t>
  </si>
  <si>
    <t>R^2 value for WP regression model</t>
  </si>
  <si>
    <t>R^2 value for CSA regression model</t>
  </si>
  <si>
    <t>Q</t>
  </si>
  <si>
    <t>Things to ask Poyom:</t>
  </si>
  <si>
    <t>1. Back-calculating n using Bruce's method? Our current method calculates N using average velocity at time t = 0. Bruce first calculated observed flows, then he changes his equations to get estimated flow at time t = 0 to be equal to obs. Q.</t>
  </si>
  <si>
    <t>2. Choosing the right regression models for WP and CSA? Concerns about overfitting with only (estimated) five data points.</t>
  </si>
  <si>
    <t>3. General thoughts on Bruce's approach?</t>
  </si>
  <si>
    <t>stage height at the transducer at time t</t>
  </si>
  <si>
    <t>where R = CSA/WP</t>
  </si>
  <si>
    <t>4. What about when n = 0?</t>
  </si>
  <si>
    <t>Actively incised streams - BF measurements may be off</t>
  </si>
  <si>
    <t>R_0</t>
  </si>
  <si>
    <t>hydraulic radius (cm)</t>
  </si>
  <si>
    <t>avg. channel slope (unitless)</t>
  </si>
  <si>
    <t>Manning's roughness coefficient (sec)</t>
  </si>
  <si>
    <t>wetted perimeter (cm)</t>
  </si>
  <si>
    <t>cross-sectional area (cm^2)</t>
  </si>
  <si>
    <t>Discharge (ccs and 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</si>
</sst>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sz val="9"/>
      <color rgb="FF595959"/>
      <name val="Calibri"/>
      <family val="2"/>
      <scheme val="minor"/>
    </font>
    <font>
      <vertAlign val="superscript"/>
      <sz val="9"/>
      <color rgb="FF595959"/>
      <name val="Calibri"/>
      <family val="2"/>
      <scheme val="minor"/>
    </font>
    <font>
      <b/>
      <sz val="10"/>
      <color rgb="FF000000"/>
      <name val="Tahoma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vertAlign val="superscript"/>
      <sz val="16"/>
      <color theme="1"/>
      <name val="Times New Roman"/>
      <family val="1"/>
    </font>
    <font>
      <sz val="10"/>
      <color theme="1"/>
      <name val="Arial"/>
      <family val="2"/>
    </font>
    <font>
      <b/>
      <sz val="27"/>
      <color theme="1"/>
      <name val="Times New Roman"/>
      <family val="1"/>
    </font>
    <font>
      <b/>
      <sz val="17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14"/>
      <color theme="1"/>
      <name val="Times New Roman"/>
      <family val="1"/>
    </font>
    <font>
      <u/>
      <sz val="14"/>
      <color rgb="FF1155CC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4" xfId="0" applyBorder="1"/>
    <xf numFmtId="0" fontId="0" fillId="0" borderId="6" xfId="0" applyBorder="1"/>
    <xf numFmtId="0" fontId="0" fillId="0" borderId="15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6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28" xfId="0" applyFont="1" applyBorder="1" applyAlignment="1">
      <alignment horizontal="center" vertical="center" readingOrder="1"/>
    </xf>
    <xf numFmtId="0" fontId="10" fillId="0" borderId="29" xfId="0" applyFont="1" applyBorder="1" applyAlignment="1">
      <alignment horizontal="center" vertical="center" readingOrder="1"/>
    </xf>
    <xf numFmtId="0" fontId="9" fillId="5" borderId="30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14" fontId="10" fillId="0" borderId="28" xfId="0" applyNumberFormat="1" applyFont="1" applyBorder="1" applyAlignment="1">
      <alignment horizontal="center"/>
    </xf>
    <xf numFmtId="14" fontId="10" fillId="0" borderId="29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/>
    <xf numFmtId="0" fontId="10" fillId="0" borderId="22" xfId="0" applyFont="1" applyBorder="1" applyAlignment="1">
      <alignment horizontal="center"/>
    </xf>
    <xf numFmtId="0" fontId="10" fillId="0" borderId="33" xfId="0" applyFont="1" applyBorder="1" applyAlignment="1">
      <alignment horizontal="center" vertical="center" readingOrder="1"/>
    </xf>
    <xf numFmtId="0" fontId="9" fillId="5" borderId="2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624691601049869"/>
                  <c:y val="-0.17717993584135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SHADY!$V$22:$V$25</c:f>
              <c:numCache>
                <c:formatCode>General</c:formatCode>
                <c:ptCount val="4"/>
                <c:pt idx="0">
                  <c:v>90</c:v>
                </c:pt>
                <c:pt idx="1">
                  <c:v>19</c:v>
                </c:pt>
                <c:pt idx="2">
                  <c:v>18</c:v>
                </c:pt>
                <c:pt idx="3">
                  <c:v>-7</c:v>
                </c:pt>
              </c:numCache>
            </c:numRef>
          </c:xVal>
          <c:yVal>
            <c:numRef>
              <c:f>SHADY!$W$22:$W$25</c:f>
              <c:numCache>
                <c:formatCode>General</c:formatCode>
                <c:ptCount val="4"/>
                <c:pt idx="0">
                  <c:v>17640</c:v>
                </c:pt>
                <c:pt idx="1">
                  <c:v>2373.8160469667318</c:v>
                </c:pt>
                <c:pt idx="2">
                  <c:v>2129.1208791208792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B-E74D-BE4E-FEC76897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708272"/>
        <c:axId val="314709984"/>
      </c:scatterChart>
      <c:valAx>
        <c:axId val="31470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9984"/>
        <c:crosses val="autoZero"/>
        <c:crossBetween val="midCat"/>
      </c:valAx>
      <c:valAx>
        <c:axId val="31470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0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layout>
        <c:manualLayout>
          <c:xMode val="edge"/>
          <c:yMode val="edge"/>
          <c:x val="0.592826334208223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5146697287839018"/>
                  <c:y val="-0.190301108194808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SHADY!$V$6:$V$11</c:f>
              <c:numCache>
                <c:formatCode>General</c:formatCode>
                <c:ptCount val="6"/>
                <c:pt idx="0">
                  <c:v>90</c:v>
                </c:pt>
                <c:pt idx="1">
                  <c:v>19</c:v>
                </c:pt>
                <c:pt idx="2">
                  <c:v>18</c:v>
                </c:pt>
                <c:pt idx="3">
                  <c:v>-7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SHADY!$W$6:$W$11</c:f>
              <c:numCache>
                <c:formatCode>General</c:formatCode>
                <c:ptCount val="6"/>
                <c:pt idx="0">
                  <c:v>764.4006058485553</c:v>
                </c:pt>
                <c:pt idx="1">
                  <c:v>329.89889239392119</c:v>
                </c:pt>
                <c:pt idx="2">
                  <c:v>180.51197618728295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B-224D-9B3E-A858FAE4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37152"/>
        <c:axId val="1425138864"/>
      </c:scatterChart>
      <c:valAx>
        <c:axId val="14251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38864"/>
        <c:crosses val="autoZero"/>
        <c:crossBetween val="midCat"/>
      </c:valAx>
      <c:valAx>
        <c:axId val="14251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3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7144816272965878"/>
                  <c:y val="-0.204449547973170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'DC116'!$V$6:$V$11</c:f>
              <c:numCache>
                <c:formatCode>General</c:formatCode>
                <c:ptCount val="6"/>
                <c:pt idx="0">
                  <c:v>84</c:v>
                </c:pt>
                <c:pt idx="1">
                  <c:v>18</c:v>
                </c:pt>
                <c:pt idx="2">
                  <c:v>-5</c:v>
                </c:pt>
                <c:pt idx="3">
                  <c:v>-59</c:v>
                </c:pt>
                <c:pt idx="4">
                  <c:v>-60</c:v>
                </c:pt>
                <c:pt idx="5">
                  <c:v>-64</c:v>
                </c:pt>
              </c:numCache>
            </c:numRef>
          </c:xVal>
          <c:yVal>
            <c:numRef>
              <c:f>'DC116'!$W$6:$W$11</c:f>
              <c:numCache>
                <c:formatCode>General</c:formatCode>
                <c:ptCount val="6"/>
                <c:pt idx="0">
                  <c:v>764.11185871733244</c:v>
                </c:pt>
                <c:pt idx="1">
                  <c:v>588.60626675317349</c:v>
                </c:pt>
                <c:pt idx="2">
                  <c:v>514.32553738426031</c:v>
                </c:pt>
                <c:pt idx="3">
                  <c:v>266.75525517993327</c:v>
                </c:pt>
                <c:pt idx="4">
                  <c:v>237.73632257469728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1-4D4A-B615-50D0011B7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707104"/>
        <c:axId val="1425643264"/>
      </c:scatterChart>
      <c:valAx>
        <c:axId val="142570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43264"/>
        <c:crosses val="autoZero"/>
        <c:crossBetween val="midCat"/>
      </c:valAx>
      <c:valAx>
        <c:axId val="142564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0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layout>
        <c:manualLayout>
          <c:xMode val="edge"/>
          <c:yMode val="edge"/>
          <c:x val="0.7695901137357830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0.2509759405074365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'DC116'!$V$22:$V$27</c:f>
              <c:numCache>
                <c:formatCode>General</c:formatCode>
                <c:ptCount val="6"/>
                <c:pt idx="0">
                  <c:v>84</c:v>
                </c:pt>
                <c:pt idx="1">
                  <c:v>18</c:v>
                </c:pt>
                <c:pt idx="2">
                  <c:v>-5</c:v>
                </c:pt>
                <c:pt idx="3">
                  <c:v>-59</c:v>
                </c:pt>
                <c:pt idx="4">
                  <c:v>-60</c:v>
                </c:pt>
                <c:pt idx="5">
                  <c:v>-64</c:v>
                </c:pt>
              </c:numCache>
            </c:numRef>
          </c:xVal>
          <c:yVal>
            <c:numRef>
              <c:f>'DC116'!$W$22:$W$27</c:f>
              <c:numCache>
                <c:formatCode>General</c:formatCode>
                <c:ptCount val="6"/>
                <c:pt idx="0">
                  <c:v>72765</c:v>
                </c:pt>
                <c:pt idx="1">
                  <c:v>32998.146067415728</c:v>
                </c:pt>
                <c:pt idx="2">
                  <c:v>21111.428571428572</c:v>
                </c:pt>
                <c:pt idx="3">
                  <c:v>397.2</c:v>
                </c:pt>
                <c:pt idx="4">
                  <c:v>475.2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B-994A-A5B3-8638CEA82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299231"/>
        <c:axId val="2094300943"/>
      </c:scatterChart>
      <c:valAx>
        <c:axId val="209429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00943"/>
        <c:crosses val="autoZero"/>
        <c:crossBetween val="midCat"/>
      </c:valAx>
      <c:valAx>
        <c:axId val="20943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9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786657917760278"/>
                  <c:y val="-0.17665864683581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'DC20'!$V$6:$V$10</c:f>
              <c:numCache>
                <c:formatCode>General</c:formatCode>
                <c:ptCount val="5"/>
                <c:pt idx="0">
                  <c:v>70</c:v>
                </c:pt>
                <c:pt idx="1">
                  <c:v>19</c:v>
                </c:pt>
                <c:pt idx="2">
                  <c:v>17</c:v>
                </c:pt>
                <c:pt idx="3">
                  <c:v>7</c:v>
                </c:pt>
                <c:pt idx="4">
                  <c:v>-6</c:v>
                </c:pt>
              </c:numCache>
            </c:numRef>
          </c:xVal>
          <c:yVal>
            <c:numRef>
              <c:f>'DC20'!$W$6:$W$10</c:f>
              <c:numCache>
                <c:formatCode>General</c:formatCode>
                <c:ptCount val="5"/>
                <c:pt idx="0">
                  <c:v>1068.6087109426614</c:v>
                </c:pt>
                <c:pt idx="1">
                  <c:v>871.2464349957811</c:v>
                </c:pt>
                <c:pt idx="2">
                  <c:v>623.10549296419924</c:v>
                </c:pt>
                <c:pt idx="3">
                  <c:v>434.30519159593882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2-CF43-B425-8D299FFE0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083264"/>
        <c:axId val="1986145168"/>
      </c:scatterChart>
      <c:valAx>
        <c:axId val="198608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45168"/>
        <c:crosses val="autoZero"/>
        <c:crossBetween val="midCat"/>
      </c:valAx>
      <c:valAx>
        <c:axId val="19861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8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'DC20'!$V$6:$V$11</c:f>
              <c:numCache>
                <c:formatCode>General</c:formatCode>
                <c:ptCount val="6"/>
                <c:pt idx="0">
                  <c:v>70</c:v>
                </c:pt>
                <c:pt idx="1">
                  <c:v>19</c:v>
                </c:pt>
                <c:pt idx="2">
                  <c:v>17</c:v>
                </c:pt>
                <c:pt idx="3">
                  <c:v>7</c:v>
                </c:pt>
                <c:pt idx="4">
                  <c:v>-6</c:v>
                </c:pt>
                <c:pt idx="5">
                  <c:v>0</c:v>
                </c:pt>
              </c:numCache>
            </c:numRef>
          </c:xVal>
          <c:yVal>
            <c:numRef>
              <c:f>'DC20'!$W$6:$W$11</c:f>
              <c:numCache>
                <c:formatCode>General</c:formatCode>
                <c:ptCount val="6"/>
                <c:pt idx="0">
                  <c:v>1068.6087109426614</c:v>
                </c:pt>
                <c:pt idx="1">
                  <c:v>871.2464349957811</c:v>
                </c:pt>
                <c:pt idx="2">
                  <c:v>623.10549296419924</c:v>
                </c:pt>
                <c:pt idx="3">
                  <c:v>434.30519159593882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B-B949-AC5B-C2458A1E8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599520"/>
        <c:axId val="989601936"/>
      </c:scatterChart>
      <c:valAx>
        <c:axId val="98959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601936"/>
        <c:crosses val="autoZero"/>
        <c:crossBetween val="midCat"/>
      </c:valAx>
      <c:valAx>
        <c:axId val="9896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9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'DC20'!$V$22:$V$27</c:f>
              <c:numCache>
                <c:formatCode>General</c:formatCode>
                <c:ptCount val="6"/>
                <c:pt idx="0">
                  <c:v>70</c:v>
                </c:pt>
                <c:pt idx="1">
                  <c:v>19</c:v>
                </c:pt>
                <c:pt idx="2">
                  <c:v>17</c:v>
                </c:pt>
                <c:pt idx="3">
                  <c:v>7</c:v>
                </c:pt>
                <c:pt idx="4">
                  <c:v>-6</c:v>
                </c:pt>
                <c:pt idx="5">
                  <c:v>0</c:v>
                </c:pt>
              </c:numCache>
            </c:numRef>
          </c:xVal>
          <c:yVal>
            <c:numRef>
              <c:f>'DC20'!$W$22:$W$27</c:f>
              <c:numCache>
                <c:formatCode>General</c:formatCode>
                <c:ptCount val="6"/>
                <c:pt idx="0">
                  <c:v>59070.5</c:v>
                </c:pt>
                <c:pt idx="1">
                  <c:v>10418.406529294936</c:v>
                </c:pt>
                <c:pt idx="2">
                  <c:v>9353.8004385964905</c:v>
                </c:pt>
                <c:pt idx="3">
                  <c:v>4131.519736842105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3-CF42-92EE-54DA2A93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64224"/>
        <c:axId val="118765936"/>
      </c:scatterChart>
      <c:valAx>
        <c:axId val="11876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5936"/>
        <c:crosses val="autoZero"/>
        <c:crossBetween val="midCat"/>
      </c:valAx>
      <c:valAx>
        <c:axId val="1187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6034033245844271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'DC10'!$V$6:$V$11</c:f>
              <c:numCache>
                <c:formatCode>General</c:formatCode>
                <c:ptCount val="6"/>
                <c:pt idx="0">
                  <c:v>51</c:v>
                </c:pt>
                <c:pt idx="1">
                  <c:v>22</c:v>
                </c:pt>
                <c:pt idx="2">
                  <c:v>-11</c:v>
                </c:pt>
                <c:pt idx="3">
                  <c:v>-51</c:v>
                </c:pt>
                <c:pt idx="4">
                  <c:v>-93</c:v>
                </c:pt>
                <c:pt idx="5">
                  <c:v>-143</c:v>
                </c:pt>
              </c:numCache>
            </c:numRef>
          </c:xVal>
          <c:yVal>
            <c:numRef>
              <c:f>'DC10'!$W$6:$W$11</c:f>
              <c:numCache>
                <c:formatCode>General</c:formatCode>
                <c:ptCount val="6"/>
                <c:pt idx="0">
                  <c:v>831.54440036010612</c:v>
                </c:pt>
                <c:pt idx="1">
                  <c:v>699.47206729077425</c:v>
                </c:pt>
                <c:pt idx="2">
                  <c:v>392.54703099118177</c:v>
                </c:pt>
                <c:pt idx="3">
                  <c:v>368.36174581518031</c:v>
                </c:pt>
                <c:pt idx="4">
                  <c:v>145.07696443555798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6-B44C-8AF8-2E662A7BB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492704"/>
        <c:axId val="1978454464"/>
      </c:scatterChart>
      <c:valAx>
        <c:axId val="197849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4464"/>
        <c:crosses val="autoZero"/>
        <c:crossBetween val="midCat"/>
      </c:valAx>
      <c:valAx>
        <c:axId val="19784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9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6790966754155729"/>
                  <c:y val="-0.215388597258676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'DC10'!$V$22:$V$27</c:f>
              <c:numCache>
                <c:formatCode>General</c:formatCode>
                <c:ptCount val="6"/>
                <c:pt idx="0">
                  <c:v>51</c:v>
                </c:pt>
                <c:pt idx="1">
                  <c:v>22</c:v>
                </c:pt>
                <c:pt idx="2">
                  <c:v>-11</c:v>
                </c:pt>
                <c:pt idx="3">
                  <c:v>-51</c:v>
                </c:pt>
                <c:pt idx="4">
                  <c:v>-93</c:v>
                </c:pt>
                <c:pt idx="5">
                  <c:v>-143</c:v>
                </c:pt>
              </c:numCache>
            </c:numRef>
          </c:xVal>
          <c:yVal>
            <c:numRef>
              <c:f>'DC10'!$W$22:$W$27</c:f>
              <c:numCache>
                <c:formatCode>General</c:formatCode>
                <c:ptCount val="6"/>
                <c:pt idx="0">
                  <c:v>28066.5</c:v>
                </c:pt>
                <c:pt idx="1">
                  <c:v>15949.71</c:v>
                </c:pt>
                <c:pt idx="2">
                  <c:v>5049.4242857142854</c:v>
                </c:pt>
                <c:pt idx="3">
                  <c:v>1077.9230769230769</c:v>
                </c:pt>
                <c:pt idx="4">
                  <c:v>388.8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0-2F4D-A07A-EA7C90EAD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687152"/>
        <c:axId val="1635688864"/>
      </c:scatterChart>
      <c:valAx>
        <c:axId val="163568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88864"/>
        <c:crosses val="autoZero"/>
        <c:crossBetween val="midCat"/>
      </c:valAx>
      <c:valAx>
        <c:axId val="16356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8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1.9491251093613299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'BR55'!$V$6:$V$11</c:f>
              <c:numCache>
                <c:formatCode>General</c:formatCode>
                <c:ptCount val="6"/>
                <c:pt idx="0">
                  <c:v>94</c:v>
                </c:pt>
                <c:pt idx="1">
                  <c:v>57</c:v>
                </c:pt>
                <c:pt idx="2">
                  <c:v>44</c:v>
                </c:pt>
                <c:pt idx="3">
                  <c:v>12</c:v>
                </c:pt>
                <c:pt idx="4">
                  <c:v>2</c:v>
                </c:pt>
                <c:pt idx="5">
                  <c:v>-15</c:v>
                </c:pt>
              </c:numCache>
            </c:numRef>
          </c:xVal>
          <c:yVal>
            <c:numRef>
              <c:f>'BR55'!$W$6:$W$11</c:f>
              <c:numCache>
                <c:formatCode>General</c:formatCode>
                <c:ptCount val="6"/>
                <c:pt idx="0">
                  <c:v>822.9189597865502</c:v>
                </c:pt>
                <c:pt idx="1">
                  <c:v>663.24646123494654</c:v>
                </c:pt>
                <c:pt idx="2">
                  <c:v>595.88313152604292</c:v>
                </c:pt>
                <c:pt idx="3">
                  <c:v>355.91786042876129</c:v>
                </c:pt>
                <c:pt idx="4">
                  <c:v>194.63858121837805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5-D44A-8520-8BA7DF44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793824"/>
        <c:axId val="1566257760"/>
      </c:scatterChart>
      <c:valAx>
        <c:axId val="156579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57760"/>
        <c:crosses val="autoZero"/>
        <c:crossBetween val="midCat"/>
      </c:valAx>
      <c:valAx>
        <c:axId val="15662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79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3.4449693788276468E-2"/>
                  <c:y val="-2.356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'BR55'!$V$22:$V$27</c:f>
              <c:numCache>
                <c:formatCode>General</c:formatCode>
                <c:ptCount val="6"/>
                <c:pt idx="0">
                  <c:v>94</c:v>
                </c:pt>
                <c:pt idx="1">
                  <c:v>57</c:v>
                </c:pt>
                <c:pt idx="2">
                  <c:v>44</c:v>
                </c:pt>
                <c:pt idx="3">
                  <c:v>12</c:v>
                </c:pt>
                <c:pt idx="4">
                  <c:v>2</c:v>
                </c:pt>
                <c:pt idx="5">
                  <c:v>-15</c:v>
                </c:pt>
              </c:numCache>
            </c:numRef>
          </c:xVal>
          <c:yVal>
            <c:numRef>
              <c:f>'BR55'!$W$22:$W$27</c:f>
              <c:numCache>
                <c:formatCode>General</c:formatCode>
                <c:ptCount val="6"/>
                <c:pt idx="0">
                  <c:v>54675.25</c:v>
                </c:pt>
                <c:pt idx="1">
                  <c:v>32396.165000000001</c:v>
                </c:pt>
                <c:pt idx="2">
                  <c:v>20155.31111111111</c:v>
                </c:pt>
                <c:pt idx="3">
                  <c:v>5210.9047619047615</c:v>
                </c:pt>
                <c:pt idx="4">
                  <c:v>1611.1646341463415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0-B949-9DF4-AD0A65B6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030432"/>
        <c:axId val="588032144"/>
      </c:scatterChart>
      <c:valAx>
        <c:axId val="58803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32144"/>
        <c:crosses val="autoZero"/>
        <c:crossBetween val="midCat"/>
      </c:valAx>
      <c:valAx>
        <c:axId val="5880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3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2569969378827641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'BR55'!$V$6:$V$11</c:f>
              <c:numCache>
                <c:formatCode>General</c:formatCode>
                <c:ptCount val="6"/>
                <c:pt idx="0">
                  <c:v>94</c:v>
                </c:pt>
                <c:pt idx="1">
                  <c:v>57</c:v>
                </c:pt>
                <c:pt idx="2">
                  <c:v>44</c:v>
                </c:pt>
                <c:pt idx="3">
                  <c:v>12</c:v>
                </c:pt>
                <c:pt idx="4">
                  <c:v>2</c:v>
                </c:pt>
                <c:pt idx="5">
                  <c:v>-15</c:v>
                </c:pt>
              </c:numCache>
            </c:numRef>
          </c:xVal>
          <c:yVal>
            <c:numRef>
              <c:f>'BR55'!$W$6:$W$11</c:f>
              <c:numCache>
                <c:formatCode>General</c:formatCode>
                <c:ptCount val="6"/>
                <c:pt idx="0">
                  <c:v>822.9189597865502</c:v>
                </c:pt>
                <c:pt idx="1">
                  <c:v>663.24646123494654</c:v>
                </c:pt>
                <c:pt idx="2">
                  <c:v>595.88313152604292</c:v>
                </c:pt>
                <c:pt idx="3">
                  <c:v>355.91786042876129</c:v>
                </c:pt>
                <c:pt idx="4">
                  <c:v>194.63858121837805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A-4644-88F3-1D325035F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271759"/>
        <c:axId val="2094356847"/>
      </c:scatterChart>
      <c:valAx>
        <c:axId val="209427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56847"/>
        <c:crosses val="autoZero"/>
        <c:crossBetween val="midCat"/>
      </c:valAx>
      <c:valAx>
        <c:axId val="20943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7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'BR55'!$V$22:$V$27</c:f>
              <c:numCache>
                <c:formatCode>General</c:formatCode>
                <c:ptCount val="6"/>
                <c:pt idx="0">
                  <c:v>94</c:v>
                </c:pt>
                <c:pt idx="1">
                  <c:v>57</c:v>
                </c:pt>
                <c:pt idx="2">
                  <c:v>44</c:v>
                </c:pt>
                <c:pt idx="3">
                  <c:v>12</c:v>
                </c:pt>
                <c:pt idx="4">
                  <c:v>2</c:v>
                </c:pt>
                <c:pt idx="5">
                  <c:v>-15</c:v>
                </c:pt>
              </c:numCache>
            </c:numRef>
          </c:xVal>
          <c:yVal>
            <c:numRef>
              <c:f>'BR55'!$W$22:$W$27</c:f>
              <c:numCache>
                <c:formatCode>General</c:formatCode>
                <c:ptCount val="6"/>
                <c:pt idx="0">
                  <c:v>54675.25</c:v>
                </c:pt>
                <c:pt idx="1">
                  <c:v>32396.165000000001</c:v>
                </c:pt>
                <c:pt idx="2">
                  <c:v>20155.31111111111</c:v>
                </c:pt>
                <c:pt idx="3">
                  <c:v>5210.9047619047615</c:v>
                </c:pt>
                <c:pt idx="4">
                  <c:v>1611.1646341463415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0-2C43-9221-46EE8CB27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633407"/>
        <c:axId val="2094766623"/>
      </c:scatterChart>
      <c:valAx>
        <c:axId val="209463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766623"/>
        <c:crosses val="autoZero"/>
        <c:crossBetween val="midCat"/>
      </c:valAx>
      <c:valAx>
        <c:axId val="20947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63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980052493438323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EFAR!$V$6:$V$11</c:f>
              <c:numCache>
                <c:formatCode>General</c:formatCode>
                <c:ptCount val="6"/>
                <c:pt idx="0">
                  <c:v>118.5</c:v>
                </c:pt>
                <c:pt idx="1">
                  <c:v>54.5</c:v>
                </c:pt>
                <c:pt idx="2">
                  <c:v>28.5</c:v>
                </c:pt>
                <c:pt idx="3">
                  <c:v>27.5</c:v>
                </c:pt>
                <c:pt idx="4">
                  <c:v>3.5</c:v>
                </c:pt>
                <c:pt idx="5">
                  <c:v>-12.5</c:v>
                </c:pt>
              </c:numCache>
            </c:numRef>
          </c:xVal>
          <c:yVal>
            <c:numRef>
              <c:f>EFAR!$W$6:$W$11</c:f>
              <c:numCache>
                <c:formatCode>General</c:formatCode>
                <c:ptCount val="6"/>
                <c:pt idx="0">
                  <c:v>890.36334033588525</c:v>
                </c:pt>
                <c:pt idx="1">
                  <c:v>709.95063545245534</c:v>
                </c:pt>
                <c:pt idx="2">
                  <c:v>516.17954629325823</c:v>
                </c:pt>
                <c:pt idx="3">
                  <c:v>354.95825386932984</c:v>
                </c:pt>
                <c:pt idx="4">
                  <c:v>226.76769994781682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F-DF4F-8D50-F7CF5FCD8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97024"/>
        <c:axId val="40119440"/>
      </c:scatterChart>
      <c:valAx>
        <c:axId val="398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19440"/>
        <c:crosses val="autoZero"/>
        <c:crossBetween val="midCat"/>
      </c:valAx>
      <c:valAx>
        <c:axId val="401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5380052493438319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EFAR!$V$22:$V$27</c:f>
              <c:numCache>
                <c:formatCode>General</c:formatCode>
                <c:ptCount val="6"/>
                <c:pt idx="0">
                  <c:v>118.5</c:v>
                </c:pt>
                <c:pt idx="1">
                  <c:v>54.5</c:v>
                </c:pt>
                <c:pt idx="2">
                  <c:v>28.5</c:v>
                </c:pt>
                <c:pt idx="3">
                  <c:v>27.5</c:v>
                </c:pt>
                <c:pt idx="4">
                  <c:v>3.5</c:v>
                </c:pt>
                <c:pt idx="5">
                  <c:v>-12.5</c:v>
                </c:pt>
              </c:numCache>
            </c:numRef>
          </c:xVal>
          <c:yVal>
            <c:numRef>
              <c:f>EFAR!$W$22:$W$27</c:f>
              <c:numCache>
                <c:formatCode>General</c:formatCode>
                <c:ptCount val="6"/>
                <c:pt idx="0">
                  <c:v>71400</c:v>
                </c:pt>
                <c:pt idx="1">
                  <c:v>24184.695652173912</c:v>
                </c:pt>
                <c:pt idx="2">
                  <c:v>8937.391304347826</c:v>
                </c:pt>
                <c:pt idx="3">
                  <c:v>8520.347826086956</c:v>
                </c:pt>
                <c:pt idx="4">
                  <c:v>1792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8-9A4C-A7A3-118765AC1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05872"/>
        <c:axId val="133907584"/>
      </c:scatterChart>
      <c:valAx>
        <c:axId val="13390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7584"/>
        <c:crosses val="autoZero"/>
        <c:crossBetween val="midCat"/>
      </c:valAx>
      <c:valAx>
        <c:axId val="13390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EFAR!$V$22:$V$27</c:f>
              <c:numCache>
                <c:formatCode>General</c:formatCode>
                <c:ptCount val="6"/>
                <c:pt idx="0">
                  <c:v>118.5</c:v>
                </c:pt>
                <c:pt idx="1">
                  <c:v>54.5</c:v>
                </c:pt>
                <c:pt idx="2">
                  <c:v>28.5</c:v>
                </c:pt>
                <c:pt idx="3">
                  <c:v>27.5</c:v>
                </c:pt>
                <c:pt idx="4">
                  <c:v>3.5</c:v>
                </c:pt>
                <c:pt idx="5">
                  <c:v>-12.5</c:v>
                </c:pt>
              </c:numCache>
            </c:numRef>
          </c:xVal>
          <c:yVal>
            <c:numRef>
              <c:f>EFAR!$W$22:$W$27</c:f>
              <c:numCache>
                <c:formatCode>General</c:formatCode>
                <c:ptCount val="6"/>
                <c:pt idx="0">
                  <c:v>71400</c:v>
                </c:pt>
                <c:pt idx="1">
                  <c:v>24184.695652173912</c:v>
                </c:pt>
                <c:pt idx="2">
                  <c:v>8937.391304347826</c:v>
                </c:pt>
                <c:pt idx="3">
                  <c:v>8520.347826086956</c:v>
                </c:pt>
                <c:pt idx="4">
                  <c:v>1792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1-0F49-A387-E5754510B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39488"/>
        <c:axId val="119041200"/>
      </c:scatterChart>
      <c:valAx>
        <c:axId val="1190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1200"/>
        <c:crosses val="autoZero"/>
        <c:crossBetween val="midCat"/>
      </c:valAx>
      <c:valAx>
        <c:axId val="1190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5.0041557305336836E-3"/>
                  <c:y val="0.46254629629629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MON!$V$6:$V$11</c:f>
              <c:numCache>
                <c:formatCode>General</c:formatCode>
                <c:ptCount val="6"/>
                <c:pt idx="0">
                  <c:v>32</c:v>
                </c:pt>
                <c:pt idx="1">
                  <c:v>26</c:v>
                </c:pt>
                <c:pt idx="2">
                  <c:v>6.5</c:v>
                </c:pt>
                <c:pt idx="3">
                  <c:v>1</c:v>
                </c:pt>
                <c:pt idx="4">
                  <c:v>-3</c:v>
                </c:pt>
                <c:pt idx="5">
                  <c:v>-3.5</c:v>
                </c:pt>
              </c:numCache>
            </c:numRef>
          </c:xVal>
          <c:yVal>
            <c:numRef>
              <c:f>MON!$W$6:$W$11</c:f>
              <c:numCache>
                <c:formatCode>General</c:formatCode>
                <c:ptCount val="6"/>
                <c:pt idx="0">
                  <c:v>533.34306120382109</c:v>
                </c:pt>
                <c:pt idx="1">
                  <c:v>470.35653803685074</c:v>
                </c:pt>
                <c:pt idx="2">
                  <c:v>329.95928413748027</c:v>
                </c:pt>
                <c:pt idx="3">
                  <c:v>216.05923195651377</c:v>
                </c:pt>
                <c:pt idx="4">
                  <c:v>104.88799473727845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6D-3C44-9D2D-2E5F3E285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334592"/>
        <c:axId val="936307168"/>
      </c:scatterChart>
      <c:valAx>
        <c:axId val="9363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07168"/>
        <c:crosses val="autoZero"/>
        <c:crossBetween val="midCat"/>
      </c:valAx>
      <c:valAx>
        <c:axId val="9363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3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7.7768153980752402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MON!$V$22:$V$27</c:f>
              <c:numCache>
                <c:formatCode>General</c:formatCode>
                <c:ptCount val="6"/>
                <c:pt idx="0">
                  <c:v>32</c:v>
                </c:pt>
                <c:pt idx="1">
                  <c:v>26</c:v>
                </c:pt>
                <c:pt idx="2">
                  <c:v>6.5</c:v>
                </c:pt>
                <c:pt idx="3">
                  <c:v>1</c:v>
                </c:pt>
                <c:pt idx="4">
                  <c:v>-3</c:v>
                </c:pt>
                <c:pt idx="5">
                  <c:v>-3.5</c:v>
                </c:pt>
              </c:numCache>
            </c:numRef>
          </c:xVal>
          <c:yVal>
            <c:numRef>
              <c:f>MON!$W$22:$W$27</c:f>
              <c:numCache>
                <c:formatCode>General</c:formatCode>
                <c:ptCount val="6"/>
                <c:pt idx="0">
                  <c:v>12753</c:v>
                </c:pt>
                <c:pt idx="1">
                  <c:v>9815.3661971830988</c:v>
                </c:pt>
                <c:pt idx="2">
                  <c:v>2153.2394366197182</c:v>
                </c:pt>
                <c:pt idx="3">
                  <c:v>664.83098591549299</c:v>
                </c:pt>
                <c:pt idx="4">
                  <c:v>26.183098591549296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AD-3F4C-A97B-1939E321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575888"/>
        <c:axId val="935577600"/>
      </c:scatterChart>
      <c:valAx>
        <c:axId val="9355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77600"/>
        <c:crosses val="autoZero"/>
        <c:crossBetween val="midCat"/>
      </c:valAx>
      <c:valAx>
        <c:axId val="9355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7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60942104111986006"/>
                  <c:y val="-0.18097222222222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MON!$V$6:$V$11</c:f>
              <c:numCache>
                <c:formatCode>General</c:formatCode>
                <c:ptCount val="6"/>
                <c:pt idx="0">
                  <c:v>32</c:v>
                </c:pt>
                <c:pt idx="1">
                  <c:v>26</c:v>
                </c:pt>
                <c:pt idx="2">
                  <c:v>6.5</c:v>
                </c:pt>
                <c:pt idx="3">
                  <c:v>1</c:v>
                </c:pt>
                <c:pt idx="4">
                  <c:v>-3</c:v>
                </c:pt>
                <c:pt idx="5">
                  <c:v>-3.5</c:v>
                </c:pt>
              </c:numCache>
            </c:numRef>
          </c:xVal>
          <c:yVal>
            <c:numRef>
              <c:f>MON!$W$6:$W$11</c:f>
              <c:numCache>
                <c:formatCode>General</c:formatCode>
                <c:ptCount val="6"/>
                <c:pt idx="0">
                  <c:v>533.34306120382109</c:v>
                </c:pt>
                <c:pt idx="1">
                  <c:v>470.35653803685074</c:v>
                </c:pt>
                <c:pt idx="2">
                  <c:v>329.95928413748027</c:v>
                </c:pt>
                <c:pt idx="3">
                  <c:v>216.05923195651377</c:v>
                </c:pt>
                <c:pt idx="4">
                  <c:v>104.88799473727845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A-FF46-B8BD-EF64CB0C4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86608"/>
        <c:axId val="118992672"/>
      </c:scatterChart>
      <c:valAx>
        <c:axId val="11898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2672"/>
        <c:crosses val="autoZero"/>
        <c:crossBetween val="midCat"/>
      </c:valAx>
      <c:valAx>
        <c:axId val="1189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MON!$V$22:$V$27</c:f>
              <c:numCache>
                <c:formatCode>General</c:formatCode>
                <c:ptCount val="6"/>
                <c:pt idx="0">
                  <c:v>32</c:v>
                </c:pt>
                <c:pt idx="1">
                  <c:v>26</c:v>
                </c:pt>
                <c:pt idx="2">
                  <c:v>6.5</c:v>
                </c:pt>
                <c:pt idx="3">
                  <c:v>1</c:v>
                </c:pt>
                <c:pt idx="4">
                  <c:v>-3</c:v>
                </c:pt>
                <c:pt idx="5">
                  <c:v>-3.5</c:v>
                </c:pt>
              </c:numCache>
            </c:numRef>
          </c:xVal>
          <c:yVal>
            <c:numRef>
              <c:f>MON!$W$22:$W$27</c:f>
              <c:numCache>
                <c:formatCode>General</c:formatCode>
                <c:ptCount val="6"/>
                <c:pt idx="0">
                  <c:v>12753</c:v>
                </c:pt>
                <c:pt idx="1">
                  <c:v>9815.3661971830988</c:v>
                </c:pt>
                <c:pt idx="2">
                  <c:v>2153.2394366197182</c:v>
                </c:pt>
                <c:pt idx="3">
                  <c:v>664.83098591549299</c:v>
                </c:pt>
                <c:pt idx="4">
                  <c:v>26.183098591549296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8-9F4D-AC42-C8DE78010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788447"/>
        <c:axId val="2100790159"/>
      </c:scatterChart>
      <c:valAx>
        <c:axId val="210078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790159"/>
        <c:crosses val="autoZero"/>
        <c:crossBetween val="midCat"/>
      </c:valAx>
      <c:valAx>
        <c:axId val="21007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78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9131714785651792"/>
                  <c:y val="-0.18097222222222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GSW!$V$6:$V$11</c:f>
              <c:numCache>
                <c:formatCode>General</c:formatCode>
                <c:ptCount val="6"/>
                <c:pt idx="0">
                  <c:v>57</c:v>
                </c:pt>
                <c:pt idx="1">
                  <c:v>23</c:v>
                </c:pt>
                <c:pt idx="2">
                  <c:v>17</c:v>
                </c:pt>
                <c:pt idx="3">
                  <c:v>15</c:v>
                </c:pt>
                <c:pt idx="4">
                  <c:v>8</c:v>
                </c:pt>
                <c:pt idx="5">
                  <c:v>-2</c:v>
                </c:pt>
              </c:numCache>
            </c:numRef>
          </c:xVal>
          <c:yVal>
            <c:numRef>
              <c:f>GSW!$W$6:$W$11</c:f>
              <c:numCache>
                <c:formatCode>General</c:formatCode>
                <c:ptCount val="6"/>
                <c:pt idx="0">
                  <c:v>395.57670058939033</c:v>
                </c:pt>
                <c:pt idx="1">
                  <c:v>300.31670521677995</c:v>
                </c:pt>
                <c:pt idx="2">
                  <c:v>262.82616917542066</c:v>
                </c:pt>
                <c:pt idx="3">
                  <c:v>180.99227621623925</c:v>
                </c:pt>
                <c:pt idx="4">
                  <c:v>116.20861382432541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A-D043-909F-CE7949873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809472"/>
        <c:axId val="384234848"/>
      </c:scatterChart>
      <c:valAx>
        <c:axId val="38380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234848"/>
        <c:crosses val="autoZero"/>
        <c:crossBetween val="midCat"/>
      </c:valAx>
      <c:valAx>
        <c:axId val="3842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0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0.13265048118985126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GSW!$V$22:$V$27</c:f>
              <c:numCache>
                <c:formatCode>General</c:formatCode>
                <c:ptCount val="6"/>
                <c:pt idx="0">
                  <c:v>57</c:v>
                </c:pt>
                <c:pt idx="1">
                  <c:v>23</c:v>
                </c:pt>
                <c:pt idx="2">
                  <c:v>17</c:v>
                </c:pt>
                <c:pt idx="3">
                  <c:v>15</c:v>
                </c:pt>
                <c:pt idx="4">
                  <c:v>8</c:v>
                </c:pt>
                <c:pt idx="5">
                  <c:v>-2</c:v>
                </c:pt>
              </c:numCache>
            </c:numRef>
          </c:xVal>
          <c:yVal>
            <c:numRef>
              <c:f>GSW!$W$22:$W$27</c:f>
              <c:numCache>
                <c:formatCode>General</c:formatCode>
                <c:ptCount val="6"/>
                <c:pt idx="0">
                  <c:v>14796</c:v>
                </c:pt>
                <c:pt idx="1">
                  <c:v>3688.2</c:v>
                </c:pt>
                <c:pt idx="2">
                  <c:v>2030.4</c:v>
                </c:pt>
                <c:pt idx="3">
                  <c:v>1593.6</c:v>
                </c:pt>
                <c:pt idx="4">
                  <c:v>571.76470588235293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C-EC42-81AB-4AD1DF30D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68432"/>
        <c:axId val="134170144"/>
      </c:scatterChart>
      <c:valAx>
        <c:axId val="13416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0144"/>
        <c:crosses val="autoZero"/>
        <c:crossBetween val="midCat"/>
      </c:valAx>
      <c:valAx>
        <c:axId val="13417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GSW!$V$22:$V$27</c:f>
              <c:numCache>
                <c:formatCode>General</c:formatCode>
                <c:ptCount val="6"/>
                <c:pt idx="0">
                  <c:v>57</c:v>
                </c:pt>
                <c:pt idx="1">
                  <c:v>23</c:v>
                </c:pt>
                <c:pt idx="2">
                  <c:v>17</c:v>
                </c:pt>
                <c:pt idx="3">
                  <c:v>15</c:v>
                </c:pt>
                <c:pt idx="4">
                  <c:v>8</c:v>
                </c:pt>
                <c:pt idx="5">
                  <c:v>-2</c:v>
                </c:pt>
              </c:numCache>
            </c:numRef>
          </c:xVal>
          <c:yVal>
            <c:numRef>
              <c:f>GSW!$W$22:$W$27</c:f>
              <c:numCache>
                <c:formatCode>General</c:formatCode>
                <c:ptCount val="6"/>
                <c:pt idx="0">
                  <c:v>14796</c:v>
                </c:pt>
                <c:pt idx="1">
                  <c:v>3688.2</c:v>
                </c:pt>
                <c:pt idx="2">
                  <c:v>2030.4</c:v>
                </c:pt>
                <c:pt idx="3">
                  <c:v>1593.6</c:v>
                </c:pt>
                <c:pt idx="4">
                  <c:v>571.76470588235293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B-DE43-9231-838F93A0A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64320"/>
        <c:axId val="119066032"/>
      </c:scatterChart>
      <c:valAx>
        <c:axId val="11906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6032"/>
        <c:crosses val="autoZero"/>
        <c:crossBetween val="midCat"/>
      </c:valAx>
      <c:valAx>
        <c:axId val="1190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6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164838145231846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NFFR!$V$6:$V$11</c:f>
              <c:numCache>
                <c:formatCode>General</c:formatCode>
                <c:ptCount val="6"/>
                <c:pt idx="0">
                  <c:v>120</c:v>
                </c:pt>
                <c:pt idx="1">
                  <c:v>96</c:v>
                </c:pt>
                <c:pt idx="2">
                  <c:v>76</c:v>
                </c:pt>
                <c:pt idx="3">
                  <c:v>64</c:v>
                </c:pt>
                <c:pt idx="4">
                  <c:v>17</c:v>
                </c:pt>
                <c:pt idx="5">
                  <c:v>-18</c:v>
                </c:pt>
              </c:numCache>
            </c:numRef>
          </c:xVal>
          <c:yVal>
            <c:numRef>
              <c:f>NFFR!$W$6:$W$11</c:f>
              <c:numCache>
                <c:formatCode>General</c:formatCode>
                <c:ptCount val="6"/>
                <c:pt idx="0">
                  <c:v>3485.5281558071883</c:v>
                </c:pt>
                <c:pt idx="1">
                  <c:v>3271.1138729324316</c:v>
                </c:pt>
                <c:pt idx="2">
                  <c:v>1972.0627495497506</c:v>
                </c:pt>
                <c:pt idx="3">
                  <c:v>1463.3456456286065</c:v>
                </c:pt>
                <c:pt idx="4">
                  <c:v>785.12749501924588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5-454A-8B07-E15185A62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19712"/>
        <c:axId val="620321424"/>
      </c:scatterChart>
      <c:valAx>
        <c:axId val="6203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21424"/>
        <c:crosses val="autoZero"/>
        <c:crossBetween val="midCat"/>
      </c:valAx>
      <c:valAx>
        <c:axId val="6203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1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9.6344925634295711E-2"/>
                  <c:y val="-9.42271799358413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NFFR!$V$22:$V$27</c:f>
              <c:numCache>
                <c:formatCode>General</c:formatCode>
                <c:ptCount val="6"/>
                <c:pt idx="0">
                  <c:v>120</c:v>
                </c:pt>
                <c:pt idx="1">
                  <c:v>96</c:v>
                </c:pt>
                <c:pt idx="2">
                  <c:v>76</c:v>
                </c:pt>
                <c:pt idx="3">
                  <c:v>64</c:v>
                </c:pt>
                <c:pt idx="4">
                  <c:v>17</c:v>
                </c:pt>
                <c:pt idx="5">
                  <c:v>-18</c:v>
                </c:pt>
              </c:numCache>
            </c:numRef>
          </c:xVal>
          <c:yVal>
            <c:numRef>
              <c:f>NFFR!$W$22:$W$27</c:f>
              <c:numCache>
                <c:formatCode>General</c:formatCode>
                <c:ptCount val="6"/>
                <c:pt idx="0">
                  <c:v>194925</c:v>
                </c:pt>
                <c:pt idx="1">
                  <c:v>91824.28571428571</c:v>
                </c:pt>
                <c:pt idx="2">
                  <c:v>86181.071428571435</c:v>
                </c:pt>
                <c:pt idx="3">
                  <c:v>65827.03389830509</c:v>
                </c:pt>
                <c:pt idx="4">
                  <c:v>13606.25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9A-A141-B1A9-0E796724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87264"/>
        <c:axId val="1007558000"/>
      </c:scatterChart>
      <c:valAx>
        <c:axId val="100748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558000"/>
        <c:crosses val="autoZero"/>
        <c:crossBetween val="midCat"/>
      </c:valAx>
      <c:valAx>
        <c:axId val="10075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MAR!$V$6:$V$11</c:f>
              <c:numCache>
                <c:formatCode>General</c:formatCode>
                <c:ptCount val="6"/>
                <c:pt idx="0">
                  <c:v>98</c:v>
                </c:pt>
                <c:pt idx="1">
                  <c:v>85</c:v>
                </c:pt>
                <c:pt idx="2">
                  <c:v>75</c:v>
                </c:pt>
                <c:pt idx="3">
                  <c:v>50</c:v>
                </c:pt>
                <c:pt idx="4">
                  <c:v>23</c:v>
                </c:pt>
                <c:pt idx="5">
                  <c:v>-13</c:v>
                </c:pt>
              </c:numCache>
            </c:numRef>
          </c:xVal>
          <c:yVal>
            <c:numRef>
              <c:f>MAR!$W$6:$W$11</c:f>
              <c:numCache>
                <c:formatCode>General</c:formatCode>
                <c:ptCount val="6"/>
                <c:pt idx="0">
                  <c:v>830.57255930499457</c:v>
                </c:pt>
                <c:pt idx="1">
                  <c:v>704.00399124793012</c:v>
                </c:pt>
                <c:pt idx="2">
                  <c:v>649.25816418658769</c:v>
                </c:pt>
                <c:pt idx="3">
                  <c:v>441.86276840371397</c:v>
                </c:pt>
                <c:pt idx="4">
                  <c:v>230.34825043750095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8-5D43-960F-514556880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953743"/>
        <c:axId val="2094159535"/>
      </c:scatterChart>
      <c:valAx>
        <c:axId val="209495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59535"/>
        <c:crosses val="autoZero"/>
        <c:crossBetween val="midCat"/>
      </c:valAx>
      <c:valAx>
        <c:axId val="20941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95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MAR!$V$22:$V$27</c:f>
              <c:numCache>
                <c:formatCode>General</c:formatCode>
                <c:ptCount val="6"/>
                <c:pt idx="0">
                  <c:v>98</c:v>
                </c:pt>
                <c:pt idx="1">
                  <c:v>85</c:v>
                </c:pt>
                <c:pt idx="2">
                  <c:v>75</c:v>
                </c:pt>
                <c:pt idx="3">
                  <c:v>50</c:v>
                </c:pt>
                <c:pt idx="4">
                  <c:v>23</c:v>
                </c:pt>
                <c:pt idx="5">
                  <c:v>-13</c:v>
                </c:pt>
              </c:numCache>
            </c:numRef>
          </c:xVal>
          <c:yVal>
            <c:numRef>
              <c:f>MAR!$W$22:$W$27</c:f>
              <c:numCache>
                <c:formatCode>General</c:formatCode>
                <c:ptCount val="6"/>
                <c:pt idx="0">
                  <c:v>41238</c:v>
                </c:pt>
                <c:pt idx="1">
                  <c:v>31771.739130434784</c:v>
                </c:pt>
                <c:pt idx="2">
                  <c:v>19197.010203422709</c:v>
                </c:pt>
                <c:pt idx="3">
                  <c:v>12442.5</c:v>
                </c:pt>
                <c:pt idx="4">
                  <c:v>3888.7346938775509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3-EA40-8AD0-2974D7FD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76896"/>
        <c:axId val="119176016"/>
      </c:scatterChart>
      <c:valAx>
        <c:axId val="11907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6016"/>
        <c:crosses val="autoZero"/>
        <c:crossBetween val="midCat"/>
      </c:valAx>
      <c:valAx>
        <c:axId val="1191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CAT!$V$6:$V$11</c:f>
              <c:numCache>
                <c:formatCode>General</c:formatCode>
                <c:ptCount val="6"/>
                <c:pt idx="0">
                  <c:v>70</c:v>
                </c:pt>
                <c:pt idx="1">
                  <c:v>-3</c:v>
                </c:pt>
                <c:pt idx="2">
                  <c:v>-11</c:v>
                </c:pt>
                <c:pt idx="3">
                  <c:v>-21</c:v>
                </c:pt>
                <c:pt idx="4">
                  <c:v>-32</c:v>
                </c:pt>
                <c:pt idx="5">
                  <c:v>-38</c:v>
                </c:pt>
              </c:numCache>
            </c:numRef>
          </c:xVal>
          <c:yVal>
            <c:numRef>
              <c:f>CAT!$W$6:$W$11</c:f>
              <c:numCache>
                <c:formatCode>General</c:formatCode>
                <c:ptCount val="6"/>
                <c:pt idx="0">
                  <c:v>555.26014961923238</c:v>
                </c:pt>
                <c:pt idx="1">
                  <c:v>385.02536128591743</c:v>
                </c:pt>
                <c:pt idx="2">
                  <c:v>353.32641319708273</c:v>
                </c:pt>
                <c:pt idx="3">
                  <c:v>232.66089703334495</c:v>
                </c:pt>
                <c:pt idx="4">
                  <c:v>130.58473942427608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F0-2A41-AED0-FECB8FA1B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293152"/>
        <c:axId val="2010279056"/>
      </c:scatterChart>
      <c:valAx>
        <c:axId val="201029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79056"/>
        <c:crosses val="autoZero"/>
        <c:crossBetween val="midCat"/>
      </c:valAx>
      <c:valAx>
        <c:axId val="20102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9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CAT!$V$22:$V$27</c:f>
              <c:numCache>
                <c:formatCode>General</c:formatCode>
                <c:ptCount val="6"/>
                <c:pt idx="0">
                  <c:v>70</c:v>
                </c:pt>
                <c:pt idx="1">
                  <c:v>-3</c:v>
                </c:pt>
                <c:pt idx="2">
                  <c:v>-11</c:v>
                </c:pt>
                <c:pt idx="3">
                  <c:v>-21</c:v>
                </c:pt>
                <c:pt idx="4">
                  <c:v>-32</c:v>
                </c:pt>
                <c:pt idx="5">
                  <c:v>-38</c:v>
                </c:pt>
              </c:numCache>
            </c:numRef>
          </c:xVal>
          <c:yVal>
            <c:numRef>
              <c:f>CAT!$W$22:$W$27</c:f>
              <c:numCache>
                <c:formatCode>General</c:formatCode>
                <c:ptCount val="6"/>
                <c:pt idx="0">
                  <c:v>38318</c:v>
                </c:pt>
                <c:pt idx="1">
                  <c:v>6320.1728395061727</c:v>
                </c:pt>
                <c:pt idx="2">
                  <c:v>5052.1142857142859</c:v>
                </c:pt>
                <c:pt idx="3">
                  <c:v>2173.8285714285712</c:v>
                </c:pt>
                <c:pt idx="4">
                  <c:v>323.31428571428569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AC-9445-B23E-27D1C53A2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64608"/>
        <c:axId val="724466320"/>
      </c:scatterChart>
      <c:valAx>
        <c:axId val="72446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66320"/>
        <c:crosses val="autoZero"/>
        <c:crossBetween val="midCat"/>
      </c:valAx>
      <c:valAx>
        <c:axId val="7244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6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CAT!$V$22:$V$27</c:f>
              <c:numCache>
                <c:formatCode>General</c:formatCode>
                <c:ptCount val="6"/>
                <c:pt idx="0">
                  <c:v>70</c:v>
                </c:pt>
                <c:pt idx="1">
                  <c:v>-3</c:v>
                </c:pt>
                <c:pt idx="2">
                  <c:v>-11</c:v>
                </c:pt>
                <c:pt idx="3">
                  <c:v>-21</c:v>
                </c:pt>
                <c:pt idx="4">
                  <c:v>-32</c:v>
                </c:pt>
                <c:pt idx="5">
                  <c:v>-38</c:v>
                </c:pt>
              </c:numCache>
            </c:numRef>
          </c:xVal>
          <c:yVal>
            <c:numRef>
              <c:f>CAT!$W$22:$W$27</c:f>
              <c:numCache>
                <c:formatCode>General</c:formatCode>
                <c:ptCount val="6"/>
                <c:pt idx="0">
                  <c:v>38318</c:v>
                </c:pt>
                <c:pt idx="1">
                  <c:v>6320.1728395061727</c:v>
                </c:pt>
                <c:pt idx="2">
                  <c:v>5052.1142857142859</c:v>
                </c:pt>
                <c:pt idx="3">
                  <c:v>2173.8285714285712</c:v>
                </c:pt>
                <c:pt idx="4">
                  <c:v>323.31428571428569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0-7040-8675-933E3903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12704"/>
        <c:axId val="193158016"/>
      </c:scatterChart>
      <c:valAx>
        <c:axId val="1930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8016"/>
        <c:crosses val="autoZero"/>
        <c:crossBetween val="midCat"/>
      </c:valAx>
      <c:valAx>
        <c:axId val="1931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2139260717410323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BUT!$V$6:$V$11</c:f>
              <c:numCache>
                <c:formatCode>General</c:formatCode>
                <c:ptCount val="6"/>
                <c:pt idx="0">
                  <c:v>114</c:v>
                </c:pt>
                <c:pt idx="1">
                  <c:v>15</c:v>
                </c:pt>
                <c:pt idx="2">
                  <c:v>13</c:v>
                </c:pt>
                <c:pt idx="3">
                  <c:v>-1</c:v>
                </c:pt>
                <c:pt idx="4">
                  <c:v>-4</c:v>
                </c:pt>
                <c:pt idx="5">
                  <c:v>-13</c:v>
                </c:pt>
              </c:numCache>
            </c:numRef>
          </c:xVal>
          <c:yVal>
            <c:numRef>
              <c:f>BUT!$W$6:$W$11</c:f>
              <c:numCache>
                <c:formatCode>General</c:formatCode>
                <c:ptCount val="6"/>
                <c:pt idx="0">
                  <c:v>1475.5353996546246</c:v>
                </c:pt>
                <c:pt idx="1">
                  <c:v>1133.2436064155313</c:v>
                </c:pt>
                <c:pt idx="2">
                  <c:v>1094.5024266347059</c:v>
                </c:pt>
                <c:pt idx="3">
                  <c:v>694.86540446617664</c:v>
                </c:pt>
                <c:pt idx="4">
                  <c:v>380.17298072043297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0-CA46-8243-44F0D1C3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570784"/>
        <c:axId val="620572496"/>
      </c:scatterChart>
      <c:valAx>
        <c:axId val="62057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72496"/>
        <c:crosses val="autoZero"/>
        <c:crossBetween val="midCat"/>
      </c:valAx>
      <c:valAx>
        <c:axId val="6205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7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228370516185477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BUT!$V$22:$V$27</c:f>
              <c:numCache>
                <c:formatCode>General</c:formatCode>
                <c:ptCount val="6"/>
                <c:pt idx="0">
                  <c:v>114</c:v>
                </c:pt>
                <c:pt idx="1">
                  <c:v>15</c:v>
                </c:pt>
                <c:pt idx="2">
                  <c:v>13</c:v>
                </c:pt>
                <c:pt idx="3">
                  <c:v>-1</c:v>
                </c:pt>
                <c:pt idx="4">
                  <c:v>-4</c:v>
                </c:pt>
                <c:pt idx="5">
                  <c:v>-13</c:v>
                </c:pt>
              </c:numCache>
            </c:numRef>
          </c:xVal>
          <c:yVal>
            <c:numRef>
              <c:f>BUT!$W$22:$W$27</c:f>
              <c:numCache>
                <c:formatCode>General</c:formatCode>
                <c:ptCount val="6"/>
                <c:pt idx="0">
                  <c:v>146358</c:v>
                </c:pt>
                <c:pt idx="1">
                  <c:v>18050.79207920792</c:v>
                </c:pt>
                <c:pt idx="2">
                  <c:v>15827.25</c:v>
                </c:pt>
                <c:pt idx="3">
                  <c:v>7830.9230769230771</c:v>
                </c:pt>
                <c:pt idx="4">
                  <c:v>1708.2692307692307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6-F245-A4F1-B0CAE22D2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997167"/>
        <c:axId val="2066998879"/>
      </c:scatterChart>
      <c:valAx>
        <c:axId val="206699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98879"/>
        <c:crosses val="autoZero"/>
        <c:crossBetween val="midCat"/>
      </c:valAx>
      <c:valAx>
        <c:axId val="20669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9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9407261592300957E-3"/>
                  <c:y val="0.20149314668999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BUT!$V$6:$V$11</c:f>
              <c:numCache>
                <c:formatCode>General</c:formatCode>
                <c:ptCount val="6"/>
                <c:pt idx="0">
                  <c:v>114</c:v>
                </c:pt>
                <c:pt idx="1">
                  <c:v>15</c:v>
                </c:pt>
                <c:pt idx="2">
                  <c:v>13</c:v>
                </c:pt>
                <c:pt idx="3">
                  <c:v>-1</c:v>
                </c:pt>
                <c:pt idx="4">
                  <c:v>-4</c:v>
                </c:pt>
                <c:pt idx="5">
                  <c:v>-13</c:v>
                </c:pt>
              </c:numCache>
            </c:numRef>
          </c:xVal>
          <c:yVal>
            <c:numRef>
              <c:f>BUT!$W$6:$W$11</c:f>
              <c:numCache>
                <c:formatCode>General</c:formatCode>
                <c:ptCount val="6"/>
                <c:pt idx="0">
                  <c:v>1475.5353996546246</c:v>
                </c:pt>
                <c:pt idx="1">
                  <c:v>1133.2436064155313</c:v>
                </c:pt>
                <c:pt idx="2">
                  <c:v>1094.5024266347059</c:v>
                </c:pt>
                <c:pt idx="3">
                  <c:v>694.86540446617664</c:v>
                </c:pt>
                <c:pt idx="4">
                  <c:v>380.17298072043297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4-7343-91B5-CCFF76824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69184"/>
        <c:axId val="193260592"/>
      </c:scatterChart>
      <c:valAx>
        <c:axId val="1929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60592"/>
        <c:crosses val="autoZero"/>
        <c:crossBetween val="midCat"/>
      </c:valAx>
      <c:valAx>
        <c:axId val="1932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2479527559055119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BUT!$V$22:$V$27</c:f>
              <c:numCache>
                <c:formatCode>General</c:formatCode>
                <c:ptCount val="6"/>
                <c:pt idx="0">
                  <c:v>114</c:v>
                </c:pt>
                <c:pt idx="1">
                  <c:v>15</c:v>
                </c:pt>
                <c:pt idx="2">
                  <c:v>13</c:v>
                </c:pt>
                <c:pt idx="3">
                  <c:v>-1</c:v>
                </c:pt>
                <c:pt idx="4">
                  <c:v>-4</c:v>
                </c:pt>
                <c:pt idx="5">
                  <c:v>-13</c:v>
                </c:pt>
              </c:numCache>
            </c:numRef>
          </c:xVal>
          <c:yVal>
            <c:numRef>
              <c:f>BUT!$W$22:$W$27</c:f>
              <c:numCache>
                <c:formatCode>General</c:formatCode>
                <c:ptCount val="6"/>
                <c:pt idx="0">
                  <c:v>146358</c:v>
                </c:pt>
                <c:pt idx="1">
                  <c:v>18050.79207920792</c:v>
                </c:pt>
                <c:pt idx="2">
                  <c:v>15827.25</c:v>
                </c:pt>
                <c:pt idx="3">
                  <c:v>7830.9230769230771</c:v>
                </c:pt>
                <c:pt idx="4">
                  <c:v>1708.2692307692307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F-554F-9F1F-704528CA0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281695"/>
        <c:axId val="2101000815"/>
      </c:scatterChart>
      <c:valAx>
        <c:axId val="210128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00815"/>
        <c:crosses val="autoZero"/>
        <c:crossBetween val="midCat"/>
      </c:valAx>
      <c:valAx>
        <c:axId val="210100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8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WBUT!$V$6:$V$11</c:f>
              <c:numCache>
                <c:formatCode>General</c:formatCode>
                <c:ptCount val="6"/>
                <c:pt idx="0">
                  <c:v>115</c:v>
                </c:pt>
                <c:pt idx="1">
                  <c:v>85</c:v>
                </c:pt>
                <c:pt idx="2">
                  <c:v>53</c:v>
                </c:pt>
                <c:pt idx="3">
                  <c:v>52</c:v>
                </c:pt>
                <c:pt idx="4">
                  <c:v>-10</c:v>
                </c:pt>
                <c:pt idx="5">
                  <c:v>-19</c:v>
                </c:pt>
              </c:numCache>
            </c:numRef>
          </c:xVal>
          <c:yVal>
            <c:numRef>
              <c:f>WBUT!$W$6:$W$11</c:f>
              <c:numCache>
                <c:formatCode>General</c:formatCode>
                <c:ptCount val="6"/>
                <c:pt idx="0">
                  <c:v>589.20506110341114</c:v>
                </c:pt>
                <c:pt idx="1">
                  <c:v>493.85815582999697</c:v>
                </c:pt>
                <c:pt idx="2">
                  <c:v>409.32433911792259</c:v>
                </c:pt>
                <c:pt idx="3">
                  <c:v>196.952461277559</c:v>
                </c:pt>
                <c:pt idx="4">
                  <c:v>110.14559829327128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3-2149-9503-4E181015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752048"/>
        <c:axId val="712757104"/>
      </c:scatterChart>
      <c:valAx>
        <c:axId val="71275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57104"/>
        <c:crosses val="autoZero"/>
        <c:crossBetween val="midCat"/>
      </c:valAx>
      <c:valAx>
        <c:axId val="7127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5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WBUT!$V$22:$V$27</c:f>
              <c:numCache>
                <c:formatCode>General</c:formatCode>
                <c:ptCount val="6"/>
                <c:pt idx="0">
                  <c:v>115</c:v>
                </c:pt>
                <c:pt idx="1">
                  <c:v>85</c:v>
                </c:pt>
                <c:pt idx="2">
                  <c:v>53</c:v>
                </c:pt>
                <c:pt idx="3">
                  <c:v>52</c:v>
                </c:pt>
                <c:pt idx="4">
                  <c:v>-10</c:v>
                </c:pt>
                <c:pt idx="5">
                  <c:v>-19</c:v>
                </c:pt>
              </c:numCache>
            </c:numRef>
          </c:xVal>
          <c:yVal>
            <c:numRef>
              <c:f>WBUT!$W$22:$W$27</c:f>
              <c:numCache>
                <c:formatCode>General</c:formatCode>
                <c:ptCount val="6"/>
                <c:pt idx="0">
                  <c:v>36622.399999999994</c:v>
                </c:pt>
                <c:pt idx="1">
                  <c:v>24557.367741935483</c:v>
                </c:pt>
                <c:pt idx="2">
                  <c:v>12167.507692307696</c:v>
                </c:pt>
                <c:pt idx="3">
                  <c:v>8838.4306761786611</c:v>
                </c:pt>
                <c:pt idx="4">
                  <c:v>476.2298076923077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4-C54B-9FF6-D9AD2DD0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223088"/>
        <c:axId val="2010224800"/>
      </c:scatterChart>
      <c:valAx>
        <c:axId val="201022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4800"/>
        <c:crosses val="autoZero"/>
        <c:crossBetween val="midCat"/>
      </c:valAx>
      <c:valAx>
        <c:axId val="20102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WBUT!$V$6:$V$11</c:f>
              <c:numCache>
                <c:formatCode>General</c:formatCode>
                <c:ptCount val="6"/>
                <c:pt idx="0">
                  <c:v>115</c:v>
                </c:pt>
                <c:pt idx="1">
                  <c:v>85</c:v>
                </c:pt>
                <c:pt idx="2">
                  <c:v>53</c:v>
                </c:pt>
                <c:pt idx="3">
                  <c:v>52</c:v>
                </c:pt>
                <c:pt idx="4">
                  <c:v>-10</c:v>
                </c:pt>
                <c:pt idx="5">
                  <c:v>-19</c:v>
                </c:pt>
              </c:numCache>
            </c:numRef>
          </c:xVal>
          <c:yVal>
            <c:numRef>
              <c:f>WBUT!$W$6:$W$11</c:f>
              <c:numCache>
                <c:formatCode>General</c:formatCode>
                <c:ptCount val="6"/>
                <c:pt idx="0">
                  <c:v>589.20506110341114</c:v>
                </c:pt>
                <c:pt idx="1">
                  <c:v>493.85815582999697</c:v>
                </c:pt>
                <c:pt idx="2">
                  <c:v>409.32433911792259</c:v>
                </c:pt>
                <c:pt idx="3">
                  <c:v>196.952461277559</c:v>
                </c:pt>
                <c:pt idx="4">
                  <c:v>110.14559829327128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93-E343-B7AC-91A65CF6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75184"/>
        <c:axId val="119394464"/>
      </c:scatterChart>
      <c:valAx>
        <c:axId val="11947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4464"/>
        <c:crosses val="autoZero"/>
        <c:crossBetween val="midCat"/>
      </c:valAx>
      <c:valAx>
        <c:axId val="1193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862357830271214"/>
                  <c:y val="-0.201869714202391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MCL!$V$6:$V$11</c:f>
              <c:numCache>
                <c:formatCode>General</c:formatCode>
                <c:ptCount val="6"/>
                <c:pt idx="0">
                  <c:v>137</c:v>
                </c:pt>
                <c:pt idx="1">
                  <c:v>24</c:v>
                </c:pt>
                <c:pt idx="2">
                  <c:v>19</c:v>
                </c:pt>
                <c:pt idx="3">
                  <c:v>16.5</c:v>
                </c:pt>
                <c:pt idx="4">
                  <c:v>-3</c:v>
                </c:pt>
                <c:pt idx="5">
                  <c:v>-13.5</c:v>
                </c:pt>
              </c:numCache>
            </c:numRef>
          </c:xVal>
          <c:yVal>
            <c:numRef>
              <c:f>MCL!$W$6:$W$11</c:f>
              <c:numCache>
                <c:formatCode>General</c:formatCode>
                <c:ptCount val="6"/>
                <c:pt idx="0">
                  <c:v>1233.4166457089996</c:v>
                </c:pt>
                <c:pt idx="1">
                  <c:v>918.6977513963194</c:v>
                </c:pt>
                <c:pt idx="2">
                  <c:v>661.08414001818608</c:v>
                </c:pt>
                <c:pt idx="3">
                  <c:v>610.78088166503949</c:v>
                </c:pt>
                <c:pt idx="4">
                  <c:v>290.38899782839474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D-7C46-B664-FF776AC40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131136"/>
        <c:axId val="724187264"/>
      </c:scatterChart>
      <c:valAx>
        <c:axId val="72413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87264"/>
        <c:crosses val="autoZero"/>
        <c:crossBetween val="midCat"/>
      </c:valAx>
      <c:valAx>
        <c:axId val="7241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3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0463735783027121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MCL!$V$22:$V$27</c:f>
              <c:numCache>
                <c:formatCode>General</c:formatCode>
                <c:ptCount val="6"/>
                <c:pt idx="0">
                  <c:v>137</c:v>
                </c:pt>
                <c:pt idx="1">
                  <c:v>24</c:v>
                </c:pt>
                <c:pt idx="2">
                  <c:v>19</c:v>
                </c:pt>
                <c:pt idx="3">
                  <c:v>16.5</c:v>
                </c:pt>
                <c:pt idx="4">
                  <c:v>-3</c:v>
                </c:pt>
                <c:pt idx="5">
                  <c:v>-13.5</c:v>
                </c:pt>
              </c:numCache>
            </c:numRef>
          </c:xVal>
          <c:yVal>
            <c:numRef>
              <c:f>MCL!$W$22:$W$27</c:f>
              <c:numCache>
                <c:formatCode>General</c:formatCode>
                <c:ptCount val="6"/>
                <c:pt idx="0">
                  <c:v>131899.25</c:v>
                </c:pt>
                <c:pt idx="1">
                  <c:v>16580.874481327803</c:v>
                </c:pt>
                <c:pt idx="2">
                  <c:v>12112.763831258646</c:v>
                </c:pt>
                <c:pt idx="3">
                  <c:v>10258.602272727272</c:v>
                </c:pt>
                <c:pt idx="4">
                  <c:v>1518.72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9-F14D-85B2-B0442E687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221264"/>
        <c:axId val="724091904"/>
      </c:scatterChart>
      <c:valAx>
        <c:axId val="72422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91904"/>
        <c:crosses val="autoZero"/>
        <c:crossBetween val="midCat"/>
      </c:valAx>
      <c:valAx>
        <c:axId val="7240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2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265310586176727E-2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MCL!$V$22:$V$27</c:f>
              <c:numCache>
                <c:formatCode>General</c:formatCode>
                <c:ptCount val="6"/>
                <c:pt idx="0">
                  <c:v>137</c:v>
                </c:pt>
                <c:pt idx="1">
                  <c:v>24</c:v>
                </c:pt>
                <c:pt idx="2">
                  <c:v>19</c:v>
                </c:pt>
                <c:pt idx="3">
                  <c:v>16.5</c:v>
                </c:pt>
                <c:pt idx="4">
                  <c:v>-3</c:v>
                </c:pt>
                <c:pt idx="5">
                  <c:v>-13.5</c:v>
                </c:pt>
              </c:numCache>
            </c:numRef>
          </c:xVal>
          <c:yVal>
            <c:numRef>
              <c:f>MCL!$W$22:$W$27</c:f>
              <c:numCache>
                <c:formatCode>General</c:formatCode>
                <c:ptCount val="6"/>
                <c:pt idx="0">
                  <c:v>131899.25</c:v>
                </c:pt>
                <c:pt idx="1">
                  <c:v>16580.874481327803</c:v>
                </c:pt>
                <c:pt idx="2">
                  <c:v>12112.763831258646</c:v>
                </c:pt>
                <c:pt idx="3">
                  <c:v>10258.602272727272</c:v>
                </c:pt>
                <c:pt idx="4">
                  <c:v>1518.72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D-CB41-89EA-F0E9DF92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44656"/>
        <c:axId val="195246368"/>
      </c:scatterChart>
      <c:valAx>
        <c:axId val="19524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6368"/>
        <c:crosses val="autoZero"/>
        <c:crossBetween val="midCat"/>
      </c:valAx>
      <c:valAx>
        <c:axId val="19524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6350</xdr:colOff>
      <xdr:row>19</xdr:row>
      <xdr:rowOff>196850</xdr:rowOff>
    </xdr:from>
    <xdr:to>
      <xdr:col>30</xdr:col>
      <xdr:colOff>539750</xdr:colOff>
      <xdr:row>34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506FFA-860C-B987-5CB6-C5382EE18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4</xdr:row>
      <xdr:rowOff>12700</xdr:rowOff>
    </xdr:from>
    <xdr:to>
      <xdr:col>30</xdr:col>
      <xdr:colOff>546100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8EB55-B258-637B-C1B6-51F48F602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12700</xdr:colOff>
      <xdr:row>4</xdr:row>
      <xdr:rowOff>25400</xdr:rowOff>
    </xdr:from>
    <xdr:to>
      <xdr:col>30</xdr:col>
      <xdr:colOff>546100</xdr:colOff>
      <xdr:row>18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AF2B24-4E59-00ED-69BF-E36247DAC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25400</xdr:colOff>
      <xdr:row>20</xdr:row>
      <xdr:rowOff>38100</xdr:rowOff>
    </xdr:from>
    <xdr:to>
      <xdr:col>30</xdr:col>
      <xdr:colOff>558800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CDD8BE-15B8-03FF-7CF6-6C24A574A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6350</xdr:colOff>
      <xdr:row>3</xdr:row>
      <xdr:rowOff>196850</xdr:rowOff>
    </xdr:from>
    <xdr:to>
      <xdr:col>30</xdr:col>
      <xdr:colOff>539750</xdr:colOff>
      <xdr:row>18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A3EEF9-D0CE-05B6-3343-5D91B6A83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12700</xdr:colOff>
      <xdr:row>4</xdr:row>
      <xdr:rowOff>12700</xdr:rowOff>
    </xdr:from>
    <xdr:to>
      <xdr:col>38</xdr:col>
      <xdr:colOff>546100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F1B9F-6B88-0708-D491-9FFAF0B69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12700</xdr:colOff>
      <xdr:row>20</xdr:row>
      <xdr:rowOff>0</xdr:rowOff>
    </xdr:from>
    <xdr:to>
      <xdr:col>30</xdr:col>
      <xdr:colOff>546100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8CE59D-EC27-8D9E-ADB6-3336E999F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6350</xdr:colOff>
      <xdr:row>4</xdr:row>
      <xdr:rowOff>6350</xdr:rowOff>
    </xdr:from>
    <xdr:to>
      <xdr:col>29</xdr:col>
      <xdr:colOff>450850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09C76-5EE7-E081-8AC4-9849C88B0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19050</xdr:colOff>
      <xdr:row>20</xdr:row>
      <xdr:rowOff>19050</xdr:rowOff>
    </xdr:from>
    <xdr:to>
      <xdr:col>29</xdr:col>
      <xdr:colOff>463550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D579A-3993-C4A8-4DB1-9E8A35309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</xdr:colOff>
      <xdr:row>4</xdr:row>
      <xdr:rowOff>31750</xdr:rowOff>
    </xdr:from>
    <xdr:to>
      <xdr:col>29</xdr:col>
      <xdr:colOff>463550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B9FAD-08E0-0AB5-4763-81B5985E3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19050</xdr:colOff>
      <xdr:row>21</xdr:row>
      <xdr:rowOff>31750</xdr:rowOff>
    </xdr:from>
    <xdr:to>
      <xdr:col>29</xdr:col>
      <xdr:colOff>463550</xdr:colOff>
      <xdr:row>35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7741B0-EEA1-7203-4328-C8702EE3F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12700</xdr:colOff>
      <xdr:row>4</xdr:row>
      <xdr:rowOff>12700</xdr:rowOff>
    </xdr:from>
    <xdr:to>
      <xdr:col>36</xdr:col>
      <xdr:colOff>457200</xdr:colOff>
      <xdr:row>18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FC390D-8FF2-9298-AAA8-5EA86E8A2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12700</xdr:colOff>
      <xdr:row>21</xdr:row>
      <xdr:rowOff>12700</xdr:rowOff>
    </xdr:from>
    <xdr:to>
      <xdr:col>36</xdr:col>
      <xdr:colOff>457200</xdr:colOff>
      <xdr:row>35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2164E-3E1C-357D-81C6-67A113CFD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</xdr:colOff>
      <xdr:row>4</xdr:row>
      <xdr:rowOff>12700</xdr:rowOff>
    </xdr:from>
    <xdr:to>
      <xdr:col>29</xdr:col>
      <xdr:colOff>463550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DDCC1-D939-4A36-3883-5FBBA22DD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6350</xdr:colOff>
      <xdr:row>20</xdr:row>
      <xdr:rowOff>0</xdr:rowOff>
    </xdr:from>
    <xdr:to>
      <xdr:col>29</xdr:col>
      <xdr:colOff>450850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539A3-536B-02AB-2171-A9034B51A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20</xdr:row>
      <xdr:rowOff>12700</xdr:rowOff>
    </xdr:from>
    <xdr:to>
      <xdr:col>36</xdr:col>
      <xdr:colOff>444500</xdr:colOff>
      <xdr:row>34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01597A-5697-DD75-A9E5-14B1FDB29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</xdr:colOff>
      <xdr:row>4</xdr:row>
      <xdr:rowOff>12700</xdr:rowOff>
    </xdr:from>
    <xdr:to>
      <xdr:col>29</xdr:col>
      <xdr:colOff>463550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DEED8-3BB2-8296-8E33-02F5F1C91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6350</xdr:colOff>
      <xdr:row>20</xdr:row>
      <xdr:rowOff>0</xdr:rowOff>
    </xdr:from>
    <xdr:to>
      <xdr:col>29</xdr:col>
      <xdr:colOff>450850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00020-5500-6FFA-B8A0-CFAEE0C4A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25400</xdr:colOff>
      <xdr:row>4</xdr:row>
      <xdr:rowOff>12700</xdr:rowOff>
    </xdr:from>
    <xdr:to>
      <xdr:col>36</xdr:col>
      <xdr:colOff>469900</xdr:colOff>
      <xdr:row>18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CEBBA-A01E-3A66-9E20-60688EB6E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20</xdr:row>
      <xdr:rowOff>12700</xdr:rowOff>
    </xdr:from>
    <xdr:to>
      <xdr:col>36</xdr:col>
      <xdr:colOff>444500</xdr:colOff>
      <xdr:row>34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FE765D-C865-DAA9-A604-6E8CED7CA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12700</xdr:colOff>
      <xdr:row>4</xdr:row>
      <xdr:rowOff>19050</xdr:rowOff>
    </xdr:from>
    <xdr:to>
      <xdr:col>29</xdr:col>
      <xdr:colOff>457200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BEE37-6F33-47FD-8E56-976F82E5E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20</xdr:row>
      <xdr:rowOff>6350</xdr:rowOff>
    </xdr:from>
    <xdr:to>
      <xdr:col>29</xdr:col>
      <xdr:colOff>457200</xdr:colOff>
      <xdr:row>34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01547-E9C6-123A-DD94-1B0B274B8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20</xdr:row>
      <xdr:rowOff>0</xdr:rowOff>
    </xdr:from>
    <xdr:to>
      <xdr:col>35</xdr:col>
      <xdr:colOff>444500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4E9682-3FBF-E2EC-2738-3C12AD4DF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812800</xdr:colOff>
      <xdr:row>4</xdr:row>
      <xdr:rowOff>12700</xdr:rowOff>
    </xdr:from>
    <xdr:to>
      <xdr:col>29</xdr:col>
      <xdr:colOff>431800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69963-DBE1-3EC2-B8A6-C1A24720A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20</xdr:row>
      <xdr:rowOff>25400</xdr:rowOff>
    </xdr:from>
    <xdr:to>
      <xdr:col>29</xdr:col>
      <xdr:colOff>444500</xdr:colOff>
      <xdr:row>34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00D9BD-EA21-02AD-AC9E-1569564BE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12700</xdr:colOff>
      <xdr:row>4</xdr:row>
      <xdr:rowOff>12700</xdr:rowOff>
    </xdr:from>
    <xdr:to>
      <xdr:col>29</xdr:col>
      <xdr:colOff>457200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BCA36-A3F8-E518-0206-268CA4B9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20</xdr:row>
      <xdr:rowOff>50800</xdr:rowOff>
    </xdr:from>
    <xdr:to>
      <xdr:col>29</xdr:col>
      <xdr:colOff>457200</xdr:colOff>
      <xdr:row>34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D886DB-038F-D3D7-9216-23B69DE39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812800</xdr:colOff>
      <xdr:row>4</xdr:row>
      <xdr:rowOff>0</xdr:rowOff>
    </xdr:from>
    <xdr:to>
      <xdr:col>29</xdr:col>
      <xdr:colOff>431800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E572A9-A4EA-54A6-515C-FE7F0959A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20</xdr:row>
      <xdr:rowOff>12700</xdr:rowOff>
    </xdr:from>
    <xdr:to>
      <xdr:col>29</xdr:col>
      <xdr:colOff>457200</xdr:colOff>
      <xdr:row>34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F4A139-5655-36C7-B48F-73778FC54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19050</xdr:colOff>
      <xdr:row>20</xdr:row>
      <xdr:rowOff>25400</xdr:rowOff>
    </xdr:from>
    <xdr:to>
      <xdr:col>35</xdr:col>
      <xdr:colOff>463550</xdr:colOff>
      <xdr:row>34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EF786-5EF4-48AE-7A0F-8D9BC9C2D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</xdr:row>
      <xdr:rowOff>12700</xdr:rowOff>
    </xdr:from>
    <xdr:to>
      <xdr:col>29</xdr:col>
      <xdr:colOff>444500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32D1B-F7BF-CCE2-A59B-F4B4842A4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25400</xdr:colOff>
      <xdr:row>20</xdr:row>
      <xdr:rowOff>25400</xdr:rowOff>
    </xdr:from>
    <xdr:to>
      <xdr:col>29</xdr:col>
      <xdr:colOff>469900</xdr:colOff>
      <xdr:row>34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D70AB-C862-2BF1-E677-AE02523A4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12700</xdr:colOff>
      <xdr:row>4</xdr:row>
      <xdr:rowOff>12700</xdr:rowOff>
    </xdr:from>
    <xdr:to>
      <xdr:col>35</xdr:col>
      <xdr:colOff>457200</xdr:colOff>
      <xdr:row>18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ED010D-C11A-5B6E-0154-0C7630164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12700</xdr:colOff>
      <xdr:row>20</xdr:row>
      <xdr:rowOff>12700</xdr:rowOff>
    </xdr:from>
    <xdr:to>
      <xdr:col>35</xdr:col>
      <xdr:colOff>457200</xdr:colOff>
      <xdr:row>34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4B55E7-58FB-A88A-DBB7-8C5D5EBCE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12700</xdr:colOff>
      <xdr:row>4</xdr:row>
      <xdr:rowOff>0</xdr:rowOff>
    </xdr:from>
    <xdr:to>
      <xdr:col>29</xdr:col>
      <xdr:colOff>457200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6FC21-03A2-04CE-0C0B-6957452C5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20</xdr:row>
      <xdr:rowOff>12700</xdr:rowOff>
    </xdr:from>
    <xdr:to>
      <xdr:col>29</xdr:col>
      <xdr:colOff>457200</xdr:colOff>
      <xdr:row>34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4F34D-84BA-6BE5-BF7E-8D8BE2447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4</xdr:row>
      <xdr:rowOff>25400</xdr:rowOff>
    </xdr:from>
    <xdr:to>
      <xdr:col>35</xdr:col>
      <xdr:colOff>444500</xdr:colOff>
      <xdr:row>18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B7CE8D-158C-6627-3FC4-F13E750EC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</xdr:row>
      <xdr:rowOff>0</xdr:rowOff>
    </xdr:from>
    <xdr:to>
      <xdr:col>29</xdr:col>
      <xdr:colOff>444500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2843D-E84A-9824-F575-C83AB4A6A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20</xdr:row>
      <xdr:rowOff>12700</xdr:rowOff>
    </xdr:from>
    <xdr:to>
      <xdr:col>29</xdr:col>
      <xdr:colOff>457200</xdr:colOff>
      <xdr:row>34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8FA95-5120-4F61-27FF-AD0ECA186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20</xdr:row>
      <xdr:rowOff>0</xdr:rowOff>
    </xdr:from>
    <xdr:to>
      <xdr:col>35</xdr:col>
      <xdr:colOff>444500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49D4AA-611B-9873-5ACB-656F35071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4E017EC6-C420-4A9D-90E6-CE489B2D7A81}">
    <text>Hand-calculated</text>
  </threadedComment>
  <threadedComment ref="N7" dT="2026-02-04T19:52:46.61" personId="{00000000-0000-0000-0000-000000000000}" id="{9DE4FD2B-168A-4A5A-A3BD-4B482A65A460}">
    <text>Not sure this is needed</text>
  </threadedComment>
  <threadedComment ref="Q8" dT="2026-02-04T21:10:20.37" personId="{00000000-0000-0000-0000-000000000000}" id="{78AD111B-FD4D-4D7F-9AB9-0FE2F20403DC}">
    <text>Stage height at bankfull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4E017EC6-C420-4A9E-90E6-CE489B2D7A81}">
    <text>Hand-calculated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4E017EC6-C420-4A9F-90E6-CE489B2D7A81}">
    <text>Hand-calculated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7C792DA9-5593-354A-A787-53B4BEB2E7B0}">
    <text>Hand-calculated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04994404-2927-8947-805C-25A871300F88}">
    <text>Hand-calculated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FC9B04D2-C92E-A64A-91AF-99A4C5AE3A83}">
    <text>Hand-calculated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F4187ED6-D75D-9042-B7A0-A7D5000512C9}">
    <text>Hand-calculated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54736422-1F14-6D44-8393-C848121CB8A5}">
    <text>Hand-calculated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CAA764DC-2AF9-5B49-A008-A485F0C3D641}">
    <text>Hand-calculated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20B23994-E5F1-E149-974F-E48FE058FE64}">
    <text>Hand-calculated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673FA747-234F-AF42-A568-CDE548D19F72}">
    <text>Hand-calculated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A6CD65F2-196F-504F-8AF7-6DE6525AC746}">
    <text>Hand-calculated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F823488A-3FB7-924E-9A22-3CE6B6BB2B18}">
    <text>Hand-calculated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S5" dT="2026-02-03T21:57:24.84" personId="{00000000-0000-0000-0000-000000000000}" id="{4664875C-80FE-0A40-BA46-AE88C023CCD5}">
    <text>Hand-calculated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2A3F-64CE-C849-898F-C2CDB4A8655C}">
  <dimension ref="A1:Z996"/>
  <sheetViews>
    <sheetView tabSelected="1" topLeftCell="A21" workbookViewId="0">
      <selection activeCell="D24" sqref="D24"/>
    </sheetView>
  </sheetViews>
  <sheetFormatPr baseColWidth="10" defaultRowHeight="15" x14ac:dyDescent="0.2"/>
  <cols>
    <col min="1" max="1" width="37.33203125" customWidth="1"/>
    <col min="2" max="2" width="36.33203125" customWidth="1"/>
  </cols>
  <sheetData>
    <row r="1" spans="1:26" ht="34" x14ac:dyDescent="0.35">
      <c r="A1" s="60"/>
      <c r="B1" s="60"/>
      <c r="C1" s="61" t="s">
        <v>98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x14ac:dyDescent="0.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x14ac:dyDescent="0.2">
      <c r="A3" s="64" t="s">
        <v>115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x14ac:dyDescent="0.2">
      <c r="A4" s="64" t="s">
        <v>116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x14ac:dyDescent="0.2">
      <c r="A5" s="65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x14ac:dyDescent="0.2">
      <c r="A6" s="64" t="s">
        <v>109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x14ac:dyDescent="0.2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22" x14ac:dyDescent="0.25">
      <c r="A8" s="60"/>
      <c r="B8" s="60"/>
      <c r="C8" s="62" t="s">
        <v>99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x14ac:dyDescent="0.2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x14ac:dyDescent="0.2">
      <c r="A10" s="66" t="s">
        <v>119</v>
      </c>
      <c r="B10" s="64" t="s">
        <v>112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x14ac:dyDescent="0.2">
      <c r="A11" s="67"/>
      <c r="B11" s="65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x14ac:dyDescent="0.2">
      <c r="A12" s="66" t="s">
        <v>110</v>
      </c>
      <c r="B12" s="64" t="s">
        <v>113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x14ac:dyDescent="0.2">
      <c r="A13" s="67"/>
      <c r="B13" s="64" t="s">
        <v>114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x14ac:dyDescent="0.2">
      <c r="A14" s="68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22" x14ac:dyDescent="0.25">
      <c r="A15" s="68"/>
      <c r="B15" s="60"/>
      <c r="C15" s="63" t="s">
        <v>62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22" x14ac:dyDescent="0.25">
      <c r="A16" s="68"/>
      <c r="B16" s="60"/>
      <c r="C16" s="63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0" x14ac:dyDescent="0.2">
      <c r="A17" s="66" t="s">
        <v>97</v>
      </c>
      <c r="B17" s="69" t="s">
        <v>136</v>
      </c>
      <c r="C17" s="48"/>
      <c r="F17" s="66" t="s">
        <v>117</v>
      </c>
    </row>
    <row r="18" spans="1:26" ht="20" x14ac:dyDescent="0.2">
      <c r="A18" s="66" t="s">
        <v>120</v>
      </c>
      <c r="B18" s="69" t="s">
        <v>134</v>
      </c>
      <c r="C18" s="48"/>
      <c r="F18" s="69" t="s">
        <v>118</v>
      </c>
    </row>
    <row r="19" spans="1:26" ht="20" x14ac:dyDescent="0.2">
      <c r="A19" s="66" t="s">
        <v>96</v>
      </c>
      <c r="B19" s="69" t="s">
        <v>135</v>
      </c>
      <c r="C19" s="48"/>
      <c r="F19" s="69" t="s">
        <v>130</v>
      </c>
    </row>
    <row r="20" spans="1:26" ht="20" x14ac:dyDescent="0.2">
      <c r="A20" s="66" t="s">
        <v>92</v>
      </c>
      <c r="B20" s="69" t="s">
        <v>129</v>
      </c>
      <c r="C20" s="48"/>
    </row>
    <row r="21" spans="1:26" ht="20" x14ac:dyDescent="0.2">
      <c r="A21" s="66" t="s">
        <v>24</v>
      </c>
      <c r="B21" s="69" t="s">
        <v>137</v>
      </c>
      <c r="C21" s="48"/>
    </row>
    <row r="22" spans="1:26" ht="18" x14ac:dyDescent="0.2">
      <c r="A22" s="66" t="s">
        <v>31</v>
      </c>
      <c r="B22" s="69" t="s">
        <v>138</v>
      </c>
    </row>
    <row r="23" spans="1:26" ht="20" x14ac:dyDescent="0.2">
      <c r="A23" s="66" t="s">
        <v>93</v>
      </c>
      <c r="B23" s="69" t="s">
        <v>122</v>
      </c>
      <c r="C23" s="48"/>
    </row>
    <row r="24" spans="1:26" ht="20" x14ac:dyDescent="0.2">
      <c r="A24" s="66" t="s">
        <v>94</v>
      </c>
      <c r="B24" s="69" t="s">
        <v>123</v>
      </c>
      <c r="C24" s="48" t="s">
        <v>121</v>
      </c>
    </row>
    <row r="25" spans="1:26" ht="20" x14ac:dyDescent="0.2">
      <c r="A25" s="66" t="s">
        <v>124</v>
      </c>
      <c r="B25" s="69" t="s">
        <v>139</v>
      </c>
      <c r="C25" s="48"/>
    </row>
    <row r="27" spans="1:26" ht="24" customHeight="1" x14ac:dyDescent="0.2"/>
    <row r="28" spans="1:26" ht="22" x14ac:dyDescent="0.25">
      <c r="A28" s="60"/>
      <c r="B28" s="60"/>
      <c r="C28" s="63" t="s">
        <v>100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x14ac:dyDescent="0.2">
      <c r="A30" s="64" t="s">
        <v>101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x14ac:dyDescent="0.2">
      <c r="A31" s="70" t="s">
        <v>102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x14ac:dyDescent="0.2">
      <c r="A32" s="64" t="s">
        <v>103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x14ac:dyDescent="0.2">
      <c r="A33" s="64" t="s">
        <v>104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x14ac:dyDescent="0.2">
      <c r="A34" s="65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x14ac:dyDescent="0.2">
      <c r="A35" s="64" t="s">
        <v>105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x14ac:dyDescent="0.2">
      <c r="A36" s="70" t="s">
        <v>106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x14ac:dyDescent="0.2">
      <c r="A37" s="70" t="s">
        <v>107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x14ac:dyDescent="0.2">
      <c r="A38" s="70" t="s">
        <v>108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x14ac:dyDescent="0.2">
      <c r="A39" s="65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x14ac:dyDescent="0.2">
      <c r="A40" s="65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x14ac:dyDescent="0.2">
      <c r="A41" s="64" t="s">
        <v>111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4" spans="1:26" ht="18" x14ac:dyDescent="0.2">
      <c r="A44" s="64" t="s">
        <v>125</v>
      </c>
    </row>
    <row r="45" spans="1:26" ht="18" x14ac:dyDescent="0.2">
      <c r="A45" s="64" t="s">
        <v>126</v>
      </c>
    </row>
    <row r="46" spans="1:26" ht="18" x14ac:dyDescent="0.2">
      <c r="A46" s="64" t="s">
        <v>127</v>
      </c>
    </row>
    <row r="47" spans="1:26" ht="18" x14ac:dyDescent="0.2">
      <c r="A47" s="64" t="s">
        <v>128</v>
      </c>
    </row>
    <row r="48" spans="1:26" ht="18" x14ac:dyDescent="0.2">
      <c r="A48" s="64" t="s">
        <v>131</v>
      </c>
    </row>
    <row r="50" spans="1:26" ht="18" x14ac:dyDescent="0.2">
      <c r="A50" s="64" t="s">
        <v>132</v>
      </c>
    </row>
    <row r="54" spans="1:26" x14ac:dyDescent="0.2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x14ac:dyDescent="0.2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x14ac:dyDescent="0.2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x14ac:dyDescent="0.2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x14ac:dyDescent="0.2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x14ac:dyDescent="0.2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x14ac:dyDescent="0.2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x14ac:dyDescent="0.2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x14ac:dyDescent="0.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x14ac:dyDescent="0.2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x14ac:dyDescent="0.2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x14ac:dyDescent="0.2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x14ac:dyDescent="0.2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x14ac:dyDescent="0.2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x14ac:dyDescent="0.2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x14ac:dyDescent="0.2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x14ac:dyDescent="0.2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x14ac:dyDescent="0.2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x14ac:dyDescent="0.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x14ac:dyDescent="0.2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x14ac:dyDescent="0.2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x14ac:dyDescent="0.2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x14ac:dyDescent="0.2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x14ac:dyDescent="0.2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x14ac:dyDescent="0.2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x14ac:dyDescent="0.2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x14ac:dyDescent="0.2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x14ac:dyDescent="0.2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x14ac:dyDescent="0.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x14ac:dyDescent="0.2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x14ac:dyDescent="0.2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x14ac:dyDescent="0.2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x14ac:dyDescent="0.2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x14ac:dyDescent="0.2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x14ac:dyDescent="0.2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x14ac:dyDescent="0.2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x14ac:dyDescent="0.2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x14ac:dyDescent="0.2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x14ac:dyDescent="0.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x14ac:dyDescent="0.2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x14ac:dyDescent="0.2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x14ac:dyDescent="0.2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x14ac:dyDescent="0.2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x14ac:dyDescent="0.2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x14ac:dyDescent="0.2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x14ac:dyDescent="0.2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x14ac:dyDescent="0.2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x14ac:dyDescent="0.2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x14ac:dyDescent="0.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x14ac:dyDescent="0.2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x14ac:dyDescent="0.2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x14ac:dyDescent="0.2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x14ac:dyDescent="0.2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x14ac:dyDescent="0.2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x14ac:dyDescent="0.2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x14ac:dyDescent="0.2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x14ac:dyDescent="0.2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x14ac:dyDescent="0.2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x14ac:dyDescent="0.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x14ac:dyDescent="0.2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x14ac:dyDescent="0.2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x14ac:dyDescent="0.2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x14ac:dyDescent="0.2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x14ac:dyDescent="0.2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x14ac:dyDescent="0.2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x14ac:dyDescent="0.2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x14ac:dyDescent="0.2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x14ac:dyDescent="0.2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x14ac:dyDescent="0.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x14ac:dyDescent="0.2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x14ac:dyDescent="0.2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x14ac:dyDescent="0.2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x14ac:dyDescent="0.2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x14ac:dyDescent="0.2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x14ac:dyDescent="0.2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x14ac:dyDescent="0.2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x14ac:dyDescent="0.2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x14ac:dyDescent="0.2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x14ac:dyDescent="0.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x14ac:dyDescent="0.2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x14ac:dyDescent="0.2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x14ac:dyDescent="0.2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x14ac:dyDescent="0.2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x14ac:dyDescent="0.2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x14ac:dyDescent="0.2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x14ac:dyDescent="0.2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x14ac:dyDescent="0.2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x14ac:dyDescent="0.2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x14ac:dyDescent="0.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x14ac:dyDescent="0.2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x14ac:dyDescent="0.2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x14ac:dyDescent="0.2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x14ac:dyDescent="0.2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x14ac:dyDescent="0.2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x14ac:dyDescent="0.2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x14ac:dyDescent="0.2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x14ac:dyDescent="0.2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x14ac:dyDescent="0.2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x14ac:dyDescent="0.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x14ac:dyDescent="0.2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x14ac:dyDescent="0.2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x14ac:dyDescent="0.2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x14ac:dyDescent="0.2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x14ac:dyDescent="0.2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x14ac:dyDescent="0.2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x14ac:dyDescent="0.2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x14ac:dyDescent="0.2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x14ac:dyDescent="0.2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x14ac:dyDescent="0.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x14ac:dyDescent="0.2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x14ac:dyDescent="0.2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x14ac:dyDescent="0.2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x14ac:dyDescent="0.2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x14ac:dyDescent="0.2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x14ac:dyDescent="0.2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x14ac:dyDescent="0.2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x14ac:dyDescent="0.2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x14ac:dyDescent="0.2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x14ac:dyDescent="0.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x14ac:dyDescent="0.2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x14ac:dyDescent="0.2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x14ac:dyDescent="0.2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x14ac:dyDescent="0.2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x14ac:dyDescent="0.2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x14ac:dyDescent="0.2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x14ac:dyDescent="0.2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x14ac:dyDescent="0.2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x14ac:dyDescent="0.2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x14ac:dyDescent="0.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x14ac:dyDescent="0.2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x14ac:dyDescent="0.2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x14ac:dyDescent="0.2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x14ac:dyDescent="0.2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x14ac:dyDescent="0.2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x14ac:dyDescent="0.2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x14ac:dyDescent="0.2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x14ac:dyDescent="0.2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x14ac:dyDescent="0.2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x14ac:dyDescent="0.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x14ac:dyDescent="0.2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x14ac:dyDescent="0.2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x14ac:dyDescent="0.2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x14ac:dyDescent="0.2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x14ac:dyDescent="0.2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x14ac:dyDescent="0.2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x14ac:dyDescent="0.2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x14ac:dyDescent="0.2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x14ac:dyDescent="0.2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x14ac:dyDescent="0.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x14ac:dyDescent="0.2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x14ac:dyDescent="0.2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x14ac:dyDescent="0.2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x14ac:dyDescent="0.2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x14ac:dyDescent="0.2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x14ac:dyDescent="0.2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x14ac:dyDescent="0.2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x14ac:dyDescent="0.2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x14ac:dyDescent="0.2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x14ac:dyDescent="0.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x14ac:dyDescent="0.2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x14ac:dyDescent="0.2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x14ac:dyDescent="0.2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x14ac:dyDescent="0.2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x14ac:dyDescent="0.2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x14ac:dyDescent="0.2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x14ac:dyDescent="0.2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x14ac:dyDescent="0.2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x14ac:dyDescent="0.2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x14ac:dyDescent="0.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x14ac:dyDescent="0.2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x14ac:dyDescent="0.2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x14ac:dyDescent="0.2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x14ac:dyDescent="0.2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x14ac:dyDescent="0.2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x14ac:dyDescent="0.2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x14ac:dyDescent="0.2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x14ac:dyDescent="0.2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x14ac:dyDescent="0.2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x14ac:dyDescent="0.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x14ac:dyDescent="0.2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x14ac:dyDescent="0.2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x14ac:dyDescent="0.2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x14ac:dyDescent="0.2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x14ac:dyDescent="0.2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x14ac:dyDescent="0.2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x14ac:dyDescent="0.2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x14ac:dyDescent="0.2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x14ac:dyDescent="0.2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x14ac:dyDescent="0.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x14ac:dyDescent="0.2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x14ac:dyDescent="0.2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x14ac:dyDescent="0.2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x14ac:dyDescent="0.2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x14ac:dyDescent="0.2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x14ac:dyDescent="0.2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x14ac:dyDescent="0.2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x14ac:dyDescent="0.2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x14ac:dyDescent="0.2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x14ac:dyDescent="0.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x14ac:dyDescent="0.2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x14ac:dyDescent="0.2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x14ac:dyDescent="0.2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x14ac:dyDescent="0.2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x14ac:dyDescent="0.2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x14ac:dyDescent="0.2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x14ac:dyDescent="0.2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x14ac:dyDescent="0.2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x14ac:dyDescent="0.2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x14ac:dyDescent="0.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x14ac:dyDescent="0.2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x14ac:dyDescent="0.2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x14ac:dyDescent="0.2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x14ac:dyDescent="0.2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x14ac:dyDescent="0.2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x14ac:dyDescent="0.2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x14ac:dyDescent="0.2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x14ac:dyDescent="0.2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x14ac:dyDescent="0.2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x14ac:dyDescent="0.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x14ac:dyDescent="0.2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x14ac:dyDescent="0.2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x14ac:dyDescent="0.2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x14ac:dyDescent="0.2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x14ac:dyDescent="0.2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x14ac:dyDescent="0.2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x14ac:dyDescent="0.2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x14ac:dyDescent="0.2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x14ac:dyDescent="0.2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x14ac:dyDescent="0.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x14ac:dyDescent="0.2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x14ac:dyDescent="0.2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x14ac:dyDescent="0.2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x14ac:dyDescent="0.2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x14ac:dyDescent="0.2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x14ac:dyDescent="0.2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x14ac:dyDescent="0.2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x14ac:dyDescent="0.2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x14ac:dyDescent="0.2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x14ac:dyDescent="0.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x14ac:dyDescent="0.2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x14ac:dyDescent="0.2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x14ac:dyDescent="0.2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x14ac:dyDescent="0.2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x14ac:dyDescent="0.2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x14ac:dyDescent="0.2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x14ac:dyDescent="0.2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x14ac:dyDescent="0.2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x14ac:dyDescent="0.2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x14ac:dyDescent="0.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x14ac:dyDescent="0.2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x14ac:dyDescent="0.2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x14ac:dyDescent="0.2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x14ac:dyDescent="0.2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x14ac:dyDescent="0.2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x14ac:dyDescent="0.2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x14ac:dyDescent="0.2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x14ac:dyDescent="0.2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x14ac:dyDescent="0.2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x14ac:dyDescent="0.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x14ac:dyDescent="0.2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x14ac:dyDescent="0.2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x14ac:dyDescent="0.2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x14ac:dyDescent="0.2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x14ac:dyDescent="0.2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x14ac:dyDescent="0.2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x14ac:dyDescent="0.2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x14ac:dyDescent="0.2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x14ac:dyDescent="0.2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x14ac:dyDescent="0.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x14ac:dyDescent="0.2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x14ac:dyDescent="0.2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x14ac:dyDescent="0.2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x14ac:dyDescent="0.2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x14ac:dyDescent="0.2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x14ac:dyDescent="0.2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x14ac:dyDescent="0.2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x14ac:dyDescent="0.2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x14ac:dyDescent="0.2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x14ac:dyDescent="0.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x14ac:dyDescent="0.2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x14ac:dyDescent="0.2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x14ac:dyDescent="0.2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x14ac:dyDescent="0.2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x14ac:dyDescent="0.2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x14ac:dyDescent="0.2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x14ac:dyDescent="0.2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x14ac:dyDescent="0.2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x14ac:dyDescent="0.2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x14ac:dyDescent="0.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x14ac:dyDescent="0.2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x14ac:dyDescent="0.2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x14ac:dyDescent="0.2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x14ac:dyDescent="0.2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x14ac:dyDescent="0.2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x14ac:dyDescent="0.2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x14ac:dyDescent="0.2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x14ac:dyDescent="0.2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x14ac:dyDescent="0.2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x14ac:dyDescent="0.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x14ac:dyDescent="0.2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x14ac:dyDescent="0.2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x14ac:dyDescent="0.2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x14ac:dyDescent="0.2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x14ac:dyDescent="0.2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x14ac:dyDescent="0.2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x14ac:dyDescent="0.2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x14ac:dyDescent="0.2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x14ac:dyDescent="0.2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x14ac:dyDescent="0.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x14ac:dyDescent="0.2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x14ac:dyDescent="0.2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x14ac:dyDescent="0.2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x14ac:dyDescent="0.2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x14ac:dyDescent="0.2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x14ac:dyDescent="0.2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x14ac:dyDescent="0.2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x14ac:dyDescent="0.2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x14ac:dyDescent="0.2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x14ac:dyDescent="0.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x14ac:dyDescent="0.2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x14ac:dyDescent="0.2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x14ac:dyDescent="0.2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x14ac:dyDescent="0.2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x14ac:dyDescent="0.2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x14ac:dyDescent="0.2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x14ac:dyDescent="0.2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x14ac:dyDescent="0.2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x14ac:dyDescent="0.2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x14ac:dyDescent="0.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x14ac:dyDescent="0.2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x14ac:dyDescent="0.2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x14ac:dyDescent="0.2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x14ac:dyDescent="0.2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x14ac:dyDescent="0.2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x14ac:dyDescent="0.2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x14ac:dyDescent="0.2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x14ac:dyDescent="0.2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x14ac:dyDescent="0.2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x14ac:dyDescent="0.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x14ac:dyDescent="0.2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x14ac:dyDescent="0.2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x14ac:dyDescent="0.2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x14ac:dyDescent="0.2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x14ac:dyDescent="0.2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x14ac:dyDescent="0.2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x14ac:dyDescent="0.2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x14ac:dyDescent="0.2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x14ac:dyDescent="0.2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x14ac:dyDescent="0.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x14ac:dyDescent="0.2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x14ac:dyDescent="0.2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x14ac:dyDescent="0.2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x14ac:dyDescent="0.2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x14ac:dyDescent="0.2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x14ac:dyDescent="0.2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x14ac:dyDescent="0.2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x14ac:dyDescent="0.2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x14ac:dyDescent="0.2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x14ac:dyDescent="0.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x14ac:dyDescent="0.2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x14ac:dyDescent="0.2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x14ac:dyDescent="0.2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x14ac:dyDescent="0.2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x14ac:dyDescent="0.2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x14ac:dyDescent="0.2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x14ac:dyDescent="0.2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x14ac:dyDescent="0.2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x14ac:dyDescent="0.2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x14ac:dyDescent="0.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x14ac:dyDescent="0.2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x14ac:dyDescent="0.2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x14ac:dyDescent="0.2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x14ac:dyDescent="0.2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x14ac:dyDescent="0.2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x14ac:dyDescent="0.2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x14ac:dyDescent="0.2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x14ac:dyDescent="0.2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x14ac:dyDescent="0.2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x14ac:dyDescent="0.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x14ac:dyDescent="0.2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x14ac:dyDescent="0.2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x14ac:dyDescent="0.2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x14ac:dyDescent="0.2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x14ac:dyDescent="0.2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x14ac:dyDescent="0.2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x14ac:dyDescent="0.2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x14ac:dyDescent="0.2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x14ac:dyDescent="0.2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x14ac:dyDescent="0.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x14ac:dyDescent="0.2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x14ac:dyDescent="0.2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x14ac:dyDescent="0.2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x14ac:dyDescent="0.2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x14ac:dyDescent="0.2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x14ac:dyDescent="0.2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x14ac:dyDescent="0.2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x14ac:dyDescent="0.2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x14ac:dyDescent="0.2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x14ac:dyDescent="0.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x14ac:dyDescent="0.2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x14ac:dyDescent="0.2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x14ac:dyDescent="0.2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x14ac:dyDescent="0.2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x14ac:dyDescent="0.2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x14ac:dyDescent="0.2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x14ac:dyDescent="0.2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x14ac:dyDescent="0.2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x14ac:dyDescent="0.2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x14ac:dyDescent="0.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x14ac:dyDescent="0.2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x14ac:dyDescent="0.2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x14ac:dyDescent="0.2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x14ac:dyDescent="0.2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x14ac:dyDescent="0.2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x14ac:dyDescent="0.2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x14ac:dyDescent="0.2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x14ac:dyDescent="0.2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x14ac:dyDescent="0.2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x14ac:dyDescent="0.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x14ac:dyDescent="0.2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x14ac:dyDescent="0.2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x14ac:dyDescent="0.2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x14ac:dyDescent="0.2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x14ac:dyDescent="0.2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x14ac:dyDescent="0.2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x14ac:dyDescent="0.2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x14ac:dyDescent="0.2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x14ac:dyDescent="0.2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x14ac:dyDescent="0.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x14ac:dyDescent="0.2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x14ac:dyDescent="0.2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x14ac:dyDescent="0.2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x14ac:dyDescent="0.2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x14ac:dyDescent="0.2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x14ac:dyDescent="0.2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x14ac:dyDescent="0.2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x14ac:dyDescent="0.2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x14ac:dyDescent="0.2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x14ac:dyDescent="0.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x14ac:dyDescent="0.2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x14ac:dyDescent="0.2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x14ac:dyDescent="0.2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x14ac:dyDescent="0.2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x14ac:dyDescent="0.2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x14ac:dyDescent="0.2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x14ac:dyDescent="0.2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x14ac:dyDescent="0.2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x14ac:dyDescent="0.2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x14ac:dyDescent="0.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x14ac:dyDescent="0.2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x14ac:dyDescent="0.2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x14ac:dyDescent="0.2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x14ac:dyDescent="0.2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x14ac:dyDescent="0.2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x14ac:dyDescent="0.2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x14ac:dyDescent="0.2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x14ac:dyDescent="0.2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x14ac:dyDescent="0.2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x14ac:dyDescent="0.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x14ac:dyDescent="0.2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x14ac:dyDescent="0.2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x14ac:dyDescent="0.2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x14ac:dyDescent="0.2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x14ac:dyDescent="0.2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x14ac:dyDescent="0.2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x14ac:dyDescent="0.2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x14ac:dyDescent="0.2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x14ac:dyDescent="0.2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x14ac:dyDescent="0.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x14ac:dyDescent="0.2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x14ac:dyDescent="0.2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x14ac:dyDescent="0.2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x14ac:dyDescent="0.2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x14ac:dyDescent="0.2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x14ac:dyDescent="0.2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x14ac:dyDescent="0.2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x14ac:dyDescent="0.2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x14ac:dyDescent="0.2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x14ac:dyDescent="0.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x14ac:dyDescent="0.2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x14ac:dyDescent="0.2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x14ac:dyDescent="0.2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x14ac:dyDescent="0.2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x14ac:dyDescent="0.2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x14ac:dyDescent="0.2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x14ac:dyDescent="0.2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x14ac:dyDescent="0.2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x14ac:dyDescent="0.2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x14ac:dyDescent="0.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x14ac:dyDescent="0.2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x14ac:dyDescent="0.2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x14ac:dyDescent="0.2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x14ac:dyDescent="0.2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x14ac:dyDescent="0.2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x14ac:dyDescent="0.2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x14ac:dyDescent="0.2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x14ac:dyDescent="0.2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x14ac:dyDescent="0.2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x14ac:dyDescent="0.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x14ac:dyDescent="0.2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x14ac:dyDescent="0.2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x14ac:dyDescent="0.2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x14ac:dyDescent="0.2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x14ac:dyDescent="0.2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x14ac:dyDescent="0.2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x14ac:dyDescent="0.2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x14ac:dyDescent="0.2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x14ac:dyDescent="0.2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x14ac:dyDescent="0.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x14ac:dyDescent="0.2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x14ac:dyDescent="0.2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x14ac:dyDescent="0.2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x14ac:dyDescent="0.2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x14ac:dyDescent="0.2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x14ac:dyDescent="0.2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x14ac:dyDescent="0.2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x14ac:dyDescent="0.2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x14ac:dyDescent="0.2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x14ac:dyDescent="0.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x14ac:dyDescent="0.2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x14ac:dyDescent="0.2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x14ac:dyDescent="0.2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x14ac:dyDescent="0.2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x14ac:dyDescent="0.2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x14ac:dyDescent="0.2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x14ac:dyDescent="0.2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x14ac:dyDescent="0.2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x14ac:dyDescent="0.2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x14ac:dyDescent="0.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x14ac:dyDescent="0.2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x14ac:dyDescent="0.2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x14ac:dyDescent="0.2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x14ac:dyDescent="0.2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x14ac:dyDescent="0.2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x14ac:dyDescent="0.2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x14ac:dyDescent="0.2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x14ac:dyDescent="0.2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x14ac:dyDescent="0.2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x14ac:dyDescent="0.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x14ac:dyDescent="0.2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x14ac:dyDescent="0.2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x14ac:dyDescent="0.2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x14ac:dyDescent="0.2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x14ac:dyDescent="0.2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x14ac:dyDescent="0.2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x14ac:dyDescent="0.2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x14ac:dyDescent="0.2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x14ac:dyDescent="0.2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x14ac:dyDescent="0.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x14ac:dyDescent="0.2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x14ac:dyDescent="0.2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x14ac:dyDescent="0.2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x14ac:dyDescent="0.2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x14ac:dyDescent="0.2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x14ac:dyDescent="0.2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x14ac:dyDescent="0.2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x14ac:dyDescent="0.2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x14ac:dyDescent="0.2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x14ac:dyDescent="0.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x14ac:dyDescent="0.2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x14ac:dyDescent="0.2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x14ac:dyDescent="0.2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x14ac:dyDescent="0.2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x14ac:dyDescent="0.2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x14ac:dyDescent="0.2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x14ac:dyDescent="0.2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x14ac:dyDescent="0.2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x14ac:dyDescent="0.2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x14ac:dyDescent="0.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x14ac:dyDescent="0.2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x14ac:dyDescent="0.2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x14ac:dyDescent="0.2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x14ac:dyDescent="0.2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x14ac:dyDescent="0.2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x14ac:dyDescent="0.2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x14ac:dyDescent="0.2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x14ac:dyDescent="0.2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x14ac:dyDescent="0.2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x14ac:dyDescent="0.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x14ac:dyDescent="0.2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x14ac:dyDescent="0.2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x14ac:dyDescent="0.2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x14ac:dyDescent="0.2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x14ac:dyDescent="0.2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x14ac:dyDescent="0.2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x14ac:dyDescent="0.2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x14ac:dyDescent="0.2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x14ac:dyDescent="0.2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x14ac:dyDescent="0.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x14ac:dyDescent="0.2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x14ac:dyDescent="0.2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x14ac:dyDescent="0.2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x14ac:dyDescent="0.2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x14ac:dyDescent="0.2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x14ac:dyDescent="0.2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x14ac:dyDescent="0.2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x14ac:dyDescent="0.2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x14ac:dyDescent="0.2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x14ac:dyDescent="0.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x14ac:dyDescent="0.2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x14ac:dyDescent="0.2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x14ac:dyDescent="0.2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x14ac:dyDescent="0.2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x14ac:dyDescent="0.2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x14ac:dyDescent="0.2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x14ac:dyDescent="0.2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x14ac:dyDescent="0.2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x14ac:dyDescent="0.2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x14ac:dyDescent="0.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x14ac:dyDescent="0.2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x14ac:dyDescent="0.2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x14ac:dyDescent="0.2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x14ac:dyDescent="0.2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x14ac:dyDescent="0.2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x14ac:dyDescent="0.2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x14ac:dyDescent="0.2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x14ac:dyDescent="0.2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x14ac:dyDescent="0.2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x14ac:dyDescent="0.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x14ac:dyDescent="0.2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x14ac:dyDescent="0.2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x14ac:dyDescent="0.2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x14ac:dyDescent="0.2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x14ac:dyDescent="0.2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x14ac:dyDescent="0.2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x14ac:dyDescent="0.2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x14ac:dyDescent="0.2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x14ac:dyDescent="0.2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x14ac:dyDescent="0.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x14ac:dyDescent="0.2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x14ac:dyDescent="0.2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x14ac:dyDescent="0.2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x14ac:dyDescent="0.2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x14ac:dyDescent="0.2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x14ac:dyDescent="0.2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x14ac:dyDescent="0.2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x14ac:dyDescent="0.2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x14ac:dyDescent="0.2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x14ac:dyDescent="0.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x14ac:dyDescent="0.2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x14ac:dyDescent="0.2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x14ac:dyDescent="0.2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x14ac:dyDescent="0.2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x14ac:dyDescent="0.2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x14ac:dyDescent="0.2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x14ac:dyDescent="0.2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x14ac:dyDescent="0.2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x14ac:dyDescent="0.2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x14ac:dyDescent="0.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x14ac:dyDescent="0.2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x14ac:dyDescent="0.2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x14ac:dyDescent="0.2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x14ac:dyDescent="0.2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x14ac:dyDescent="0.2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x14ac:dyDescent="0.2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x14ac:dyDescent="0.2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x14ac:dyDescent="0.2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x14ac:dyDescent="0.2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x14ac:dyDescent="0.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x14ac:dyDescent="0.2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x14ac:dyDescent="0.2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x14ac:dyDescent="0.2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x14ac:dyDescent="0.2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x14ac:dyDescent="0.2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x14ac:dyDescent="0.2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x14ac:dyDescent="0.2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x14ac:dyDescent="0.2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x14ac:dyDescent="0.2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x14ac:dyDescent="0.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x14ac:dyDescent="0.2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x14ac:dyDescent="0.2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x14ac:dyDescent="0.2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x14ac:dyDescent="0.2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x14ac:dyDescent="0.2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x14ac:dyDescent="0.2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x14ac:dyDescent="0.2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x14ac:dyDescent="0.2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x14ac:dyDescent="0.2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x14ac:dyDescent="0.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x14ac:dyDescent="0.2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x14ac:dyDescent="0.2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x14ac:dyDescent="0.2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x14ac:dyDescent="0.2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x14ac:dyDescent="0.2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x14ac:dyDescent="0.2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x14ac:dyDescent="0.2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x14ac:dyDescent="0.2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x14ac:dyDescent="0.2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x14ac:dyDescent="0.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x14ac:dyDescent="0.2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x14ac:dyDescent="0.2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x14ac:dyDescent="0.2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x14ac:dyDescent="0.2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x14ac:dyDescent="0.2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x14ac:dyDescent="0.2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x14ac:dyDescent="0.2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x14ac:dyDescent="0.2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x14ac:dyDescent="0.2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x14ac:dyDescent="0.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x14ac:dyDescent="0.2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x14ac:dyDescent="0.2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x14ac:dyDescent="0.2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x14ac:dyDescent="0.2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x14ac:dyDescent="0.2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x14ac:dyDescent="0.2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x14ac:dyDescent="0.2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x14ac:dyDescent="0.2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x14ac:dyDescent="0.2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x14ac:dyDescent="0.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x14ac:dyDescent="0.2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x14ac:dyDescent="0.2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x14ac:dyDescent="0.2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x14ac:dyDescent="0.2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x14ac:dyDescent="0.2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x14ac:dyDescent="0.2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x14ac:dyDescent="0.2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x14ac:dyDescent="0.2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x14ac:dyDescent="0.2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x14ac:dyDescent="0.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x14ac:dyDescent="0.2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x14ac:dyDescent="0.2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x14ac:dyDescent="0.2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x14ac:dyDescent="0.2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x14ac:dyDescent="0.2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x14ac:dyDescent="0.2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x14ac:dyDescent="0.2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x14ac:dyDescent="0.2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x14ac:dyDescent="0.2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x14ac:dyDescent="0.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x14ac:dyDescent="0.2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x14ac:dyDescent="0.2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x14ac:dyDescent="0.2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x14ac:dyDescent="0.2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x14ac:dyDescent="0.2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x14ac:dyDescent="0.2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x14ac:dyDescent="0.2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x14ac:dyDescent="0.2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x14ac:dyDescent="0.2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x14ac:dyDescent="0.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x14ac:dyDescent="0.2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x14ac:dyDescent="0.2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x14ac:dyDescent="0.2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x14ac:dyDescent="0.2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x14ac:dyDescent="0.2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x14ac:dyDescent="0.2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x14ac:dyDescent="0.2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x14ac:dyDescent="0.2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x14ac:dyDescent="0.2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x14ac:dyDescent="0.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x14ac:dyDescent="0.2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x14ac:dyDescent="0.2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x14ac:dyDescent="0.2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x14ac:dyDescent="0.2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x14ac:dyDescent="0.2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x14ac:dyDescent="0.2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x14ac:dyDescent="0.2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x14ac:dyDescent="0.2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x14ac:dyDescent="0.2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x14ac:dyDescent="0.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x14ac:dyDescent="0.2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x14ac:dyDescent="0.2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x14ac:dyDescent="0.2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x14ac:dyDescent="0.2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x14ac:dyDescent="0.2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x14ac:dyDescent="0.2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x14ac:dyDescent="0.2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x14ac:dyDescent="0.2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x14ac:dyDescent="0.2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x14ac:dyDescent="0.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x14ac:dyDescent="0.2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x14ac:dyDescent="0.2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x14ac:dyDescent="0.2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x14ac:dyDescent="0.2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x14ac:dyDescent="0.2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x14ac:dyDescent="0.2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x14ac:dyDescent="0.2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x14ac:dyDescent="0.2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x14ac:dyDescent="0.2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x14ac:dyDescent="0.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x14ac:dyDescent="0.2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x14ac:dyDescent="0.2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x14ac:dyDescent="0.2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x14ac:dyDescent="0.2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x14ac:dyDescent="0.2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x14ac:dyDescent="0.2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x14ac:dyDescent="0.2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x14ac:dyDescent="0.2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x14ac:dyDescent="0.2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x14ac:dyDescent="0.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x14ac:dyDescent="0.2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x14ac:dyDescent="0.2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x14ac:dyDescent="0.2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x14ac:dyDescent="0.2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x14ac:dyDescent="0.2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x14ac:dyDescent="0.2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x14ac:dyDescent="0.2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x14ac:dyDescent="0.2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x14ac:dyDescent="0.2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x14ac:dyDescent="0.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x14ac:dyDescent="0.2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x14ac:dyDescent="0.2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x14ac:dyDescent="0.2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x14ac:dyDescent="0.2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x14ac:dyDescent="0.2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x14ac:dyDescent="0.2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x14ac:dyDescent="0.2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x14ac:dyDescent="0.2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x14ac:dyDescent="0.2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x14ac:dyDescent="0.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x14ac:dyDescent="0.2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x14ac:dyDescent="0.2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x14ac:dyDescent="0.2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x14ac:dyDescent="0.2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x14ac:dyDescent="0.2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x14ac:dyDescent="0.2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x14ac:dyDescent="0.2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x14ac:dyDescent="0.2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x14ac:dyDescent="0.2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x14ac:dyDescent="0.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x14ac:dyDescent="0.2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x14ac:dyDescent="0.2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x14ac:dyDescent="0.2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x14ac:dyDescent="0.2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x14ac:dyDescent="0.2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x14ac:dyDescent="0.2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x14ac:dyDescent="0.2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x14ac:dyDescent="0.2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x14ac:dyDescent="0.2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x14ac:dyDescent="0.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x14ac:dyDescent="0.2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x14ac:dyDescent="0.2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x14ac:dyDescent="0.2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x14ac:dyDescent="0.2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x14ac:dyDescent="0.2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x14ac:dyDescent="0.2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x14ac:dyDescent="0.2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x14ac:dyDescent="0.2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x14ac:dyDescent="0.2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x14ac:dyDescent="0.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x14ac:dyDescent="0.2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x14ac:dyDescent="0.2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x14ac:dyDescent="0.2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x14ac:dyDescent="0.2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x14ac:dyDescent="0.2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x14ac:dyDescent="0.2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x14ac:dyDescent="0.2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x14ac:dyDescent="0.2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x14ac:dyDescent="0.2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x14ac:dyDescent="0.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x14ac:dyDescent="0.2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x14ac:dyDescent="0.2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x14ac:dyDescent="0.2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x14ac:dyDescent="0.2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x14ac:dyDescent="0.2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x14ac:dyDescent="0.2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x14ac:dyDescent="0.2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x14ac:dyDescent="0.2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x14ac:dyDescent="0.2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x14ac:dyDescent="0.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x14ac:dyDescent="0.2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x14ac:dyDescent="0.2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x14ac:dyDescent="0.2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x14ac:dyDescent="0.2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x14ac:dyDescent="0.2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x14ac:dyDescent="0.2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x14ac:dyDescent="0.2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x14ac:dyDescent="0.2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x14ac:dyDescent="0.2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x14ac:dyDescent="0.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x14ac:dyDescent="0.2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x14ac:dyDescent="0.2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x14ac:dyDescent="0.2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x14ac:dyDescent="0.2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x14ac:dyDescent="0.2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x14ac:dyDescent="0.2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x14ac:dyDescent="0.2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x14ac:dyDescent="0.2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x14ac:dyDescent="0.2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x14ac:dyDescent="0.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x14ac:dyDescent="0.2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x14ac:dyDescent="0.2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x14ac:dyDescent="0.2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x14ac:dyDescent="0.2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x14ac:dyDescent="0.2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x14ac:dyDescent="0.2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x14ac:dyDescent="0.2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x14ac:dyDescent="0.2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x14ac:dyDescent="0.2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x14ac:dyDescent="0.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x14ac:dyDescent="0.2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x14ac:dyDescent="0.2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x14ac:dyDescent="0.2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x14ac:dyDescent="0.2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x14ac:dyDescent="0.2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x14ac:dyDescent="0.2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x14ac:dyDescent="0.2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x14ac:dyDescent="0.2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x14ac:dyDescent="0.2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x14ac:dyDescent="0.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x14ac:dyDescent="0.2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x14ac:dyDescent="0.2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x14ac:dyDescent="0.2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x14ac:dyDescent="0.2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x14ac:dyDescent="0.2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x14ac:dyDescent="0.2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x14ac:dyDescent="0.2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x14ac:dyDescent="0.2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x14ac:dyDescent="0.2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x14ac:dyDescent="0.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x14ac:dyDescent="0.2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x14ac:dyDescent="0.2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x14ac:dyDescent="0.2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x14ac:dyDescent="0.2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x14ac:dyDescent="0.2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x14ac:dyDescent="0.2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x14ac:dyDescent="0.2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x14ac:dyDescent="0.2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x14ac:dyDescent="0.2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x14ac:dyDescent="0.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x14ac:dyDescent="0.2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x14ac:dyDescent="0.2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x14ac:dyDescent="0.2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x14ac:dyDescent="0.2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x14ac:dyDescent="0.2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x14ac:dyDescent="0.2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x14ac:dyDescent="0.2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x14ac:dyDescent="0.2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x14ac:dyDescent="0.2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x14ac:dyDescent="0.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x14ac:dyDescent="0.2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x14ac:dyDescent="0.2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x14ac:dyDescent="0.2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x14ac:dyDescent="0.2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x14ac:dyDescent="0.2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x14ac:dyDescent="0.2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x14ac:dyDescent="0.2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x14ac:dyDescent="0.2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x14ac:dyDescent="0.2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x14ac:dyDescent="0.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x14ac:dyDescent="0.2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x14ac:dyDescent="0.2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x14ac:dyDescent="0.2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x14ac:dyDescent="0.2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6E0B-C7A4-F84D-A30B-5935D64D91D2}">
  <dimension ref="A1:K15"/>
  <sheetViews>
    <sheetView workbookViewId="0">
      <selection activeCell="F19" sqref="F19"/>
    </sheetView>
  </sheetViews>
  <sheetFormatPr baseColWidth="10" defaultRowHeight="20" x14ac:dyDescent="0.2"/>
  <cols>
    <col min="1" max="1" width="10.83203125" style="48"/>
    <col min="2" max="2" width="24.1640625" style="48" customWidth="1"/>
    <col min="3" max="3" width="26.33203125" style="48" customWidth="1"/>
    <col min="4" max="7" width="10.83203125" style="48"/>
    <col min="8" max="8" width="74.33203125" style="48" customWidth="1"/>
    <col min="9" max="9" width="17.6640625" style="48" customWidth="1"/>
    <col min="10" max="10" width="76.1640625" style="48" customWidth="1"/>
    <col min="11" max="11" width="16.83203125" style="48" customWidth="1"/>
    <col min="12" max="12" width="11" style="48" bestFit="1" customWidth="1"/>
    <col min="13" max="13" width="11.83203125" style="48" bestFit="1" customWidth="1"/>
    <col min="14" max="15" width="11" style="48" bestFit="1" customWidth="1"/>
    <col min="16" max="16384" width="10.83203125" style="48"/>
  </cols>
  <sheetData>
    <row r="1" spans="1:11" s="47" customFormat="1" x14ac:dyDescent="0.2">
      <c r="A1" s="55" t="s">
        <v>47</v>
      </c>
      <c r="B1" s="56" t="s">
        <v>95</v>
      </c>
      <c r="C1" s="56" t="s">
        <v>91</v>
      </c>
      <c r="D1" s="55" t="s">
        <v>92</v>
      </c>
      <c r="E1" s="56" t="s">
        <v>97</v>
      </c>
      <c r="F1" s="57" t="s">
        <v>96</v>
      </c>
      <c r="G1" s="73" t="s">
        <v>133</v>
      </c>
      <c r="H1" s="56" t="s">
        <v>24</v>
      </c>
      <c r="I1" s="56" t="s">
        <v>93</v>
      </c>
      <c r="J1" s="56" t="s">
        <v>31</v>
      </c>
      <c r="K1" s="56" t="s">
        <v>94</v>
      </c>
    </row>
    <row r="2" spans="1:11" ht="24" x14ac:dyDescent="0.2">
      <c r="A2" s="51" t="s">
        <v>48</v>
      </c>
      <c r="B2" s="58">
        <v>45876</v>
      </c>
      <c r="C2" s="49">
        <v>21773574</v>
      </c>
      <c r="D2" s="51">
        <v>19</v>
      </c>
      <c r="E2" s="49">
        <v>1.2999999999999999E-2</v>
      </c>
      <c r="F2" s="48">
        <v>2.2000000000000001E-3</v>
      </c>
      <c r="G2" s="49">
        <v>9.2945829999999994</v>
      </c>
      <c r="H2" s="49" t="s">
        <v>77</v>
      </c>
      <c r="I2" s="49">
        <v>0.96689999999999998</v>
      </c>
      <c r="J2" s="53" t="s">
        <v>63</v>
      </c>
      <c r="K2" s="49">
        <v>1</v>
      </c>
    </row>
    <row r="3" spans="1:11" ht="24" x14ac:dyDescent="0.2">
      <c r="A3" s="51" t="s">
        <v>49</v>
      </c>
      <c r="B3" s="58">
        <v>45821</v>
      </c>
      <c r="C3" s="49">
        <v>21821536</v>
      </c>
      <c r="D3" s="51">
        <v>32</v>
      </c>
      <c r="E3" s="49">
        <v>2.2000000000000002</v>
      </c>
      <c r="F3" s="48">
        <v>1.2999999999999999E-2</v>
      </c>
      <c r="G3" s="49">
        <v>61.191589999999998</v>
      </c>
      <c r="H3" s="53" t="s">
        <v>78</v>
      </c>
      <c r="I3" s="53">
        <v>0.91539999999999999</v>
      </c>
      <c r="J3" s="53" t="s">
        <v>64</v>
      </c>
      <c r="K3" s="49">
        <v>1</v>
      </c>
    </row>
    <row r="4" spans="1:11" ht="24" x14ac:dyDescent="0.2">
      <c r="A4" s="51" t="s">
        <v>50</v>
      </c>
      <c r="B4" s="58">
        <v>45831</v>
      </c>
      <c r="C4" s="49">
        <v>21773580</v>
      </c>
      <c r="D4" s="51">
        <v>58</v>
      </c>
      <c r="E4" s="49">
        <v>4.7E-2</v>
      </c>
      <c r="F4" s="48">
        <v>2.0999999999999999E-3</v>
      </c>
      <c r="G4" s="49">
        <v>45.088790000000003</v>
      </c>
      <c r="H4" s="53" t="s">
        <v>79</v>
      </c>
      <c r="I4" s="49">
        <v>0.73229999999999995</v>
      </c>
      <c r="J4" s="53" t="s">
        <v>65</v>
      </c>
      <c r="K4" s="53">
        <v>0.99950000000000006</v>
      </c>
    </row>
    <row r="5" spans="1:11" ht="24" x14ac:dyDescent="0.2">
      <c r="A5" s="51" t="s">
        <v>51</v>
      </c>
      <c r="B5" s="58">
        <v>45833</v>
      </c>
      <c r="C5" s="49">
        <v>21773578</v>
      </c>
      <c r="D5" s="51">
        <v>23</v>
      </c>
      <c r="E5" s="49">
        <v>0.11</v>
      </c>
      <c r="F5" s="48">
        <v>3.3000000000000002E-2</v>
      </c>
      <c r="G5" s="49">
        <v>23.588100000000001</v>
      </c>
      <c r="H5" s="53" t="s">
        <v>88</v>
      </c>
      <c r="I5" s="53">
        <v>0.97360000000000002</v>
      </c>
      <c r="J5" s="53" t="s">
        <v>66</v>
      </c>
      <c r="K5" s="49">
        <v>0.99739999999999995</v>
      </c>
    </row>
    <row r="6" spans="1:11" ht="24" x14ac:dyDescent="0.2">
      <c r="A6" s="51" t="s">
        <v>52</v>
      </c>
      <c r="B6" s="58">
        <v>45838</v>
      </c>
      <c r="C6" s="49">
        <v>21773581</v>
      </c>
      <c r="D6" s="51">
        <v>63</v>
      </c>
      <c r="E6" s="49">
        <v>0.17</v>
      </c>
      <c r="F6" s="48">
        <v>1.7000000000000001E-2</v>
      </c>
      <c r="G6" s="49">
        <v>49.325189999999999</v>
      </c>
      <c r="H6" s="53" t="s">
        <v>80</v>
      </c>
      <c r="I6" s="53">
        <v>0.99609999999999999</v>
      </c>
      <c r="J6" s="53" t="s">
        <v>67</v>
      </c>
      <c r="K6" s="53">
        <v>0.99729999999999996</v>
      </c>
    </row>
    <row r="7" spans="1:11" ht="24" x14ac:dyDescent="0.2">
      <c r="A7" s="51" t="s">
        <v>53</v>
      </c>
      <c r="B7" s="58">
        <v>45846</v>
      </c>
      <c r="C7" s="49">
        <v>22309887</v>
      </c>
      <c r="D7" s="51">
        <v>55.5</v>
      </c>
      <c r="E7" s="49">
        <v>4.2999999999999997E-2</v>
      </c>
      <c r="F7" s="48">
        <v>3.0099999999999998E-2</v>
      </c>
      <c r="G7" s="49">
        <v>36.0762</v>
      </c>
      <c r="H7" s="53" t="s">
        <v>81</v>
      </c>
      <c r="I7" s="53">
        <v>0.97189999999999999</v>
      </c>
      <c r="J7" s="53" t="s">
        <v>68</v>
      </c>
      <c r="K7" s="53">
        <v>0.99980000000000002</v>
      </c>
    </row>
    <row r="8" spans="1:11" ht="24" x14ac:dyDescent="0.2">
      <c r="A8" s="51" t="s">
        <v>54</v>
      </c>
      <c r="B8" s="58">
        <v>45848</v>
      </c>
      <c r="C8" s="49">
        <v>22309889</v>
      </c>
      <c r="D8" s="51">
        <v>11</v>
      </c>
      <c r="E8" s="49">
        <v>0.17</v>
      </c>
      <c r="F8" s="48">
        <v>3.0800000000000001E-2</v>
      </c>
      <c r="G8" s="49">
        <v>3.816541</v>
      </c>
      <c r="H8" s="53" t="s">
        <v>82</v>
      </c>
      <c r="I8" s="49">
        <v>0.98570000000000002</v>
      </c>
      <c r="J8" s="53" t="s">
        <v>69</v>
      </c>
      <c r="K8" s="49">
        <v>1</v>
      </c>
    </row>
    <row r="9" spans="1:11" ht="24" x14ac:dyDescent="0.2">
      <c r="A9" s="51" t="s">
        <v>55</v>
      </c>
      <c r="B9" s="58">
        <v>45882</v>
      </c>
      <c r="C9" s="49">
        <v>2023065</v>
      </c>
      <c r="D9" s="51">
        <v>34</v>
      </c>
      <c r="E9" s="49">
        <v>2.1000000000000001E-2</v>
      </c>
      <c r="F9" s="48">
        <v>3.1699999999999999E-2</v>
      </c>
      <c r="G9" s="49">
        <v>19.576519999999999</v>
      </c>
      <c r="H9" s="53" t="s">
        <v>83</v>
      </c>
      <c r="I9" s="53">
        <v>0.97619999999999996</v>
      </c>
      <c r="J9" s="53" t="s">
        <v>70</v>
      </c>
      <c r="K9" s="53">
        <v>0.99990000000000001</v>
      </c>
    </row>
    <row r="10" spans="1:11" ht="24" x14ac:dyDescent="0.2">
      <c r="A10" s="51" t="s">
        <v>56</v>
      </c>
      <c r="B10" s="58">
        <v>45883</v>
      </c>
      <c r="C10" s="49">
        <v>9773630</v>
      </c>
      <c r="D10" s="51">
        <v>20</v>
      </c>
      <c r="E10" s="49">
        <v>5.1999999999999998E-2</v>
      </c>
      <c r="F10" s="48">
        <v>8.3999999999999995E-3</v>
      </c>
      <c r="G10" s="49">
        <v>35.899679999999996</v>
      </c>
      <c r="H10" s="53" t="s">
        <v>84</v>
      </c>
      <c r="I10" s="53">
        <v>0.95609999999999995</v>
      </c>
      <c r="J10" s="53" t="s">
        <v>71</v>
      </c>
      <c r="K10" s="53">
        <v>0.96589999999999998</v>
      </c>
    </row>
    <row r="11" spans="1:11" ht="24" x14ac:dyDescent="0.2">
      <c r="A11" s="51" t="s">
        <v>57</v>
      </c>
      <c r="B11" s="58">
        <v>45884</v>
      </c>
      <c r="C11" s="49">
        <v>2026005</v>
      </c>
      <c r="D11" s="51">
        <v>35</v>
      </c>
      <c r="E11" s="49">
        <v>3.5999999999999997E-2</v>
      </c>
      <c r="F11" s="48">
        <v>1.8700000000000001E-2</v>
      </c>
      <c r="G11" s="49">
        <v>21.68056</v>
      </c>
      <c r="H11" s="53" t="s">
        <v>89</v>
      </c>
      <c r="I11" s="53">
        <v>0.99939999999999996</v>
      </c>
      <c r="J11" s="53" t="s">
        <v>72</v>
      </c>
      <c r="K11" s="53">
        <v>0.98619999999999997</v>
      </c>
    </row>
    <row r="12" spans="1:11" ht="24" x14ac:dyDescent="0.2">
      <c r="A12" s="51" t="s">
        <v>58</v>
      </c>
      <c r="B12" s="58">
        <v>45897</v>
      </c>
      <c r="C12" s="49">
        <v>9773640</v>
      </c>
      <c r="D12" s="51">
        <v>48</v>
      </c>
      <c r="E12" s="49">
        <v>3.2000000000000001E-2</v>
      </c>
      <c r="F12" s="48">
        <v>4.1300000000000003E-2</v>
      </c>
      <c r="G12" s="49">
        <v>55.843220000000002</v>
      </c>
      <c r="H12" s="53" t="s">
        <v>85</v>
      </c>
      <c r="I12" s="53">
        <v>0.99460000000000004</v>
      </c>
      <c r="J12" s="53" t="s">
        <v>73</v>
      </c>
      <c r="K12" s="53">
        <v>0.99960000000000004</v>
      </c>
    </row>
    <row r="13" spans="1:11" ht="24" x14ac:dyDescent="0.2">
      <c r="A13" s="51" t="s">
        <v>59</v>
      </c>
      <c r="B13" s="58">
        <v>45911</v>
      </c>
      <c r="C13" s="49">
        <v>9773627</v>
      </c>
      <c r="D13" s="51">
        <v>34</v>
      </c>
      <c r="E13" s="49">
        <v>1.7000000000000001E-2</v>
      </c>
      <c r="F13" s="48">
        <v>0.01</v>
      </c>
      <c r="G13" s="49">
        <v>24.315000000000001</v>
      </c>
      <c r="H13" s="53" t="s">
        <v>86</v>
      </c>
      <c r="I13" s="53">
        <v>0.98899999999999999</v>
      </c>
      <c r="J13" s="53" t="s">
        <v>74</v>
      </c>
      <c r="K13" s="53">
        <v>0.99939999999999996</v>
      </c>
    </row>
    <row r="14" spans="1:11" ht="24" x14ac:dyDescent="0.2">
      <c r="A14" s="51" t="s">
        <v>60</v>
      </c>
      <c r="B14" s="58">
        <v>45903</v>
      </c>
      <c r="C14" s="49">
        <v>9763525</v>
      </c>
      <c r="D14" s="51">
        <v>38</v>
      </c>
      <c r="E14" s="49">
        <v>0.11</v>
      </c>
      <c r="F14" s="48">
        <v>3.1E-2</v>
      </c>
      <c r="G14" s="49">
        <v>23.615790000000001</v>
      </c>
      <c r="H14" s="53" t="s">
        <v>90</v>
      </c>
      <c r="I14" s="53">
        <v>0.90280000000000005</v>
      </c>
      <c r="J14" s="53" t="s">
        <v>75</v>
      </c>
      <c r="K14" s="53">
        <v>0.99570000000000003</v>
      </c>
    </row>
    <row r="15" spans="1:11" ht="24" x14ac:dyDescent="0.2">
      <c r="A15" s="52" t="s">
        <v>61</v>
      </c>
      <c r="B15" s="59">
        <v>45910</v>
      </c>
      <c r="C15" s="50">
        <v>9773634</v>
      </c>
      <c r="D15" s="52">
        <v>32</v>
      </c>
      <c r="E15" s="50">
        <v>3.3000000000000002E-2</v>
      </c>
      <c r="F15" s="71">
        <v>8.9999999999999993E-3</v>
      </c>
      <c r="G15" s="50">
        <v>36.882069999999999</v>
      </c>
      <c r="H15" s="72" t="s">
        <v>87</v>
      </c>
      <c r="I15" s="54">
        <v>0.72440000000000004</v>
      </c>
      <c r="J15" s="54" t="s">
        <v>76</v>
      </c>
      <c r="K15" s="54">
        <v>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A3DF-7A01-7E4B-8809-2A2047A798A5}">
  <dimension ref="A1:AI27"/>
  <sheetViews>
    <sheetView topLeftCell="R1" workbookViewId="0">
      <selection activeCell="U18" sqref="U18"/>
    </sheetView>
  </sheetViews>
  <sheetFormatPr baseColWidth="10" defaultColWidth="8.83203125" defaultRowHeight="15" x14ac:dyDescent="0.2"/>
  <cols>
    <col min="1" max="1" width="18.1640625" customWidth="1"/>
    <col min="2" max="2" width="9.83203125" customWidth="1"/>
    <col min="5" max="5" width="9.33203125" bestFit="1" customWidth="1"/>
    <col min="13" max="13" width="9.6640625" customWidth="1"/>
    <col min="14" max="14" width="10.83203125" customWidth="1"/>
    <col min="16" max="16" width="15.5" customWidth="1"/>
    <col min="17" max="17" width="19.5" customWidth="1"/>
    <col min="18" max="18" width="18.33203125" customWidth="1"/>
    <col min="19" max="19" width="22.33203125" customWidth="1"/>
    <col min="20" max="20" width="18.6640625" customWidth="1"/>
    <col min="21" max="21" width="18.5" customWidth="1"/>
    <col min="22" max="22" width="12.1640625" customWidth="1"/>
    <col min="23" max="23" width="13.5" customWidth="1"/>
    <col min="24" max="24" width="14.5" customWidth="1"/>
  </cols>
  <sheetData>
    <row r="1" spans="1:35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35" ht="16" thickBot="1" x14ac:dyDescent="0.25">
      <c r="A2" s="16" t="s">
        <v>33</v>
      </c>
      <c r="C2" s="7">
        <v>70</v>
      </c>
      <c r="D2" s="26"/>
      <c r="E2" s="26">
        <v>140</v>
      </c>
      <c r="F2" s="26"/>
      <c r="G2" s="26">
        <v>140</v>
      </c>
      <c r="H2" s="26"/>
      <c r="I2" s="26">
        <v>140</v>
      </c>
      <c r="J2" s="26"/>
      <c r="K2" s="26">
        <v>140</v>
      </c>
      <c r="L2" s="26"/>
      <c r="M2" s="8">
        <v>70</v>
      </c>
      <c r="O2" s="42">
        <v>71</v>
      </c>
      <c r="P2" s="43">
        <v>19</v>
      </c>
      <c r="Q2" t="s">
        <v>34</v>
      </c>
    </row>
    <row r="3" spans="1:35" x14ac:dyDescent="0.2">
      <c r="C3" s="1"/>
      <c r="D3" s="1"/>
      <c r="E3" s="1"/>
      <c r="F3" s="1"/>
      <c r="G3" s="1"/>
      <c r="H3" s="1"/>
      <c r="I3" s="1"/>
      <c r="J3" s="1"/>
      <c r="K3" s="1"/>
      <c r="Q3" t="s">
        <v>35</v>
      </c>
    </row>
    <row r="4" spans="1:35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35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  <c r="AI5" s="46" t="s">
        <v>44</v>
      </c>
    </row>
    <row r="6" spans="1:35" x14ac:dyDescent="0.2">
      <c r="A6" t="s">
        <v>25</v>
      </c>
      <c r="B6" s="6">
        <v>0</v>
      </c>
      <c r="C6" s="1"/>
      <c r="D6" s="1">
        <f>0+O2</f>
        <v>71</v>
      </c>
      <c r="E6" s="1"/>
      <c r="F6" s="1">
        <f>27+O2</f>
        <v>98</v>
      </c>
      <c r="G6" s="1"/>
      <c r="H6" s="1">
        <f>1+O2</f>
        <v>72</v>
      </c>
      <c r="I6" s="1"/>
      <c r="J6" s="1">
        <f>2+O2</f>
        <v>73</v>
      </c>
      <c r="K6" s="1"/>
      <c r="L6" s="1">
        <f>0+O2</f>
        <v>71</v>
      </c>
      <c r="M6" s="1"/>
      <c r="N6" s="5">
        <v>0</v>
      </c>
      <c r="Q6" s="10"/>
      <c r="R6" s="4"/>
      <c r="S6" s="35"/>
      <c r="T6" s="1"/>
      <c r="V6" s="6">
        <f>Q8</f>
        <v>90</v>
      </c>
      <c r="W6" s="10">
        <f>R8</f>
        <v>764.4006058485553</v>
      </c>
      <c r="AI6" s="46" t="s">
        <v>45</v>
      </c>
    </row>
    <row r="7" spans="1:35" x14ac:dyDescent="0.2">
      <c r="B7" s="6"/>
      <c r="C7" s="1"/>
      <c r="D7" s="1">
        <f>ABS(D6-B6)</f>
        <v>71</v>
      </c>
      <c r="E7" s="1"/>
      <c r="F7" s="1">
        <f>ABS(F6-D6)</f>
        <v>27</v>
      </c>
      <c r="G7" s="1"/>
      <c r="H7" s="1">
        <f>ABS(H6-F6)</f>
        <v>26</v>
      </c>
      <c r="I7" s="1"/>
      <c r="J7" s="1">
        <f>ABS(J6-H6)</f>
        <v>1</v>
      </c>
      <c r="K7" s="1"/>
      <c r="L7" s="1">
        <f>ABS(L6-J6)</f>
        <v>2</v>
      </c>
      <c r="M7" s="1"/>
      <c r="N7" s="5">
        <f>ABS(N6-L6)</f>
        <v>71</v>
      </c>
      <c r="Q7" s="10"/>
      <c r="R7" s="4"/>
      <c r="S7" s="35"/>
      <c r="T7" s="1"/>
      <c r="V7" s="6">
        <f>Q11</f>
        <v>19</v>
      </c>
      <c r="W7" s="10">
        <f>R11</f>
        <v>329.89889239392119</v>
      </c>
    </row>
    <row r="8" spans="1:35" x14ac:dyDescent="0.2">
      <c r="B8" s="12"/>
      <c r="C8" s="2">
        <f>SQRT(D7^2+C2^2)</f>
        <v>99.704563586628268</v>
      </c>
      <c r="D8" s="15"/>
      <c r="E8" s="2">
        <f>SQRT(F7^2+E2^2)</f>
        <v>142.57980221616245</v>
      </c>
      <c r="F8" s="2"/>
      <c r="G8" s="2">
        <f>SQRT(H7^2+G2^2)</f>
        <v>142.39382009062049</v>
      </c>
      <c r="H8" s="2"/>
      <c r="I8" s="2">
        <f>SQRT(J7^2+I2^2)</f>
        <v>140.00357138301865</v>
      </c>
      <c r="J8" s="2"/>
      <c r="K8" s="2">
        <f>SQRT(L7^2+K2^2)</f>
        <v>140.01428498549711</v>
      </c>
      <c r="L8" s="2"/>
      <c r="M8" s="2">
        <f>SQRT(N7^2+M2^2)</f>
        <v>99.704563586628268</v>
      </c>
      <c r="N8" s="24"/>
      <c r="Q8" s="13">
        <f>O2+P2</f>
        <v>90</v>
      </c>
      <c r="R8" s="12">
        <f>SUM(B8:N8)</f>
        <v>764.4006058485553</v>
      </c>
      <c r="S8" s="36">
        <f>(0.5*E2*F6)+(G2*(F6-H6)+0.5*G2*(F6-H6))+(I2*(J6-H6)+0.5*I2*(J6-H6))+(0.5*K2*J6)</f>
        <v>17640</v>
      </c>
      <c r="T8" s="1"/>
      <c r="V8" s="6">
        <f>Q14</f>
        <v>18</v>
      </c>
      <c r="W8" s="10">
        <f>R14</f>
        <v>180.51197618728295</v>
      </c>
    </row>
    <row r="9" spans="1:35" x14ac:dyDescent="0.2">
      <c r="A9" t="s">
        <v>29</v>
      </c>
      <c r="B9" s="6"/>
      <c r="C9" s="1"/>
      <c r="D9" s="1">
        <v>0</v>
      </c>
      <c r="E9" s="1"/>
      <c r="F9" s="1">
        <f>F6-H6</f>
        <v>26</v>
      </c>
      <c r="G9" s="1"/>
      <c r="H9" s="1">
        <v>0</v>
      </c>
      <c r="I9" s="1"/>
      <c r="J9" s="1">
        <f>J6-H6</f>
        <v>1</v>
      </c>
      <c r="K9" s="1"/>
      <c r="L9" s="1">
        <v>0</v>
      </c>
      <c r="M9" s="1"/>
      <c r="N9" s="5"/>
      <c r="Q9" s="10"/>
      <c r="R9" s="6"/>
      <c r="S9" s="35"/>
      <c r="T9" s="1"/>
      <c r="V9" s="6">
        <f>Q17</f>
        <v>-7</v>
      </c>
      <c r="W9" s="10">
        <f>R17</f>
        <v>0</v>
      </c>
    </row>
    <row r="10" spans="1:35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0</v>
      </c>
      <c r="W10" s="10">
        <f>R20</f>
        <v>0</v>
      </c>
    </row>
    <row r="11" spans="1:35" ht="16" thickBot="1" x14ac:dyDescent="0.25">
      <c r="B11" s="12"/>
      <c r="C11" s="2"/>
      <c r="D11" s="15"/>
      <c r="E11" s="17">
        <f>SQRT((E2*(F6-H6)/F6)^2+(F6-H6)^2)</f>
        <v>45.338635144153756</v>
      </c>
      <c r="F11" s="2"/>
      <c r="G11" s="2">
        <f>SQRT((F6-H6)^2+G2^2)</f>
        <v>142.39382009062049</v>
      </c>
      <c r="H11" s="2"/>
      <c r="I11" s="2">
        <f>SQRT((J6-H6)^2+I2^2)</f>
        <v>140.00357138301865</v>
      </c>
      <c r="J11" s="2"/>
      <c r="K11" s="17">
        <f>SQRT((K2*(J6-H6)/J6)^2+(J6-H6)^2)</f>
        <v>2.1628657761282848</v>
      </c>
      <c r="L11" s="19"/>
      <c r="M11" s="15"/>
      <c r="N11" s="24"/>
      <c r="Q11" s="13">
        <f>Q8-D6</f>
        <v>19</v>
      </c>
      <c r="R11" s="12">
        <f>SUM(B11:N11)</f>
        <v>329.89889239392119</v>
      </c>
      <c r="S11" s="36">
        <f>(0.5*E2*(F6-H6)^2/F6)+(0.5*G2*(F6-H6))+(0.5*I2*(J6-H6))+(0.5*K2*(J6-H6)^2/J6)</f>
        <v>2373.8160469667318</v>
      </c>
      <c r="T11" s="1"/>
      <c r="V11" s="7">
        <f>Q23</f>
        <v>0</v>
      </c>
      <c r="W11" s="11">
        <f>R23</f>
        <v>0</v>
      </c>
    </row>
    <row r="12" spans="1:35" x14ac:dyDescent="0.2">
      <c r="A12" t="s">
        <v>28</v>
      </c>
      <c r="B12" s="6"/>
      <c r="C12" s="1"/>
      <c r="D12" s="1"/>
      <c r="E12" s="1"/>
      <c r="F12" s="1">
        <f>F9-J9</f>
        <v>25</v>
      </c>
      <c r="G12" s="1"/>
      <c r="H12" s="1">
        <v>0</v>
      </c>
      <c r="I12" s="1"/>
      <c r="J12" s="1">
        <v>0</v>
      </c>
      <c r="K12" s="1"/>
      <c r="L12" s="1"/>
      <c r="M12" s="1"/>
      <c r="N12" s="5"/>
      <c r="Q12" s="10"/>
      <c r="R12" s="6"/>
      <c r="S12" s="35"/>
      <c r="T12" s="1"/>
    </row>
    <row r="13" spans="1:35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35" x14ac:dyDescent="0.2">
      <c r="B14" s="12"/>
      <c r="C14" s="2"/>
      <c r="D14" s="15"/>
      <c r="E14" s="17">
        <f>SQRT((E2*(F6-J6)/F6)^2+(F6-J6)^2)</f>
        <v>43.594841484763229</v>
      </c>
      <c r="F14" s="2"/>
      <c r="G14" s="17">
        <f>SQRT((G2*(F6-J6)/(F6-H6))^2+(F6-J6)^2)</f>
        <v>136.91713470251972</v>
      </c>
      <c r="H14" s="2"/>
      <c r="I14" s="2"/>
      <c r="J14" s="15"/>
      <c r="K14" s="15"/>
      <c r="L14" s="15"/>
      <c r="M14" s="2"/>
      <c r="N14" s="14"/>
      <c r="Q14" s="13">
        <f>Q11-J9</f>
        <v>18</v>
      </c>
      <c r="R14" s="12">
        <f>SUM(B14:N14)</f>
        <v>180.51197618728295</v>
      </c>
      <c r="S14" s="36">
        <f>(0.5*E2*(F6-J6)^2/F6)+(0.5*G2*(F6-J6)^2/(F6-H6))</f>
        <v>2129.1208791208792</v>
      </c>
      <c r="T14" s="1"/>
    </row>
    <row r="15" spans="1:35" x14ac:dyDescent="0.2">
      <c r="A15" t="s">
        <v>30</v>
      </c>
      <c r="B15" s="6"/>
      <c r="C15" s="1"/>
      <c r="D15" s="1"/>
      <c r="E15" s="1"/>
      <c r="F15" s="1">
        <v>0</v>
      </c>
      <c r="G15" s="1"/>
      <c r="H15" s="1"/>
      <c r="I15" s="1"/>
      <c r="J15" s="1"/>
      <c r="K15" s="1"/>
      <c r="L15" s="1"/>
      <c r="M15" s="1"/>
      <c r="N15" s="5"/>
      <c r="Q15" s="10"/>
      <c r="R15" s="6"/>
      <c r="S15" s="35"/>
      <c r="T15" s="1"/>
    </row>
    <row r="16" spans="1:35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35" x14ac:dyDescent="0.2">
      <c r="B17" s="12"/>
      <c r="C17" s="2"/>
      <c r="D17" s="15"/>
      <c r="E17" s="2"/>
      <c r="F17" s="2"/>
      <c r="G17" s="2"/>
      <c r="H17" s="2"/>
      <c r="I17" s="2"/>
      <c r="J17" s="15"/>
      <c r="K17" s="2"/>
      <c r="L17" s="2"/>
      <c r="M17" s="2"/>
      <c r="N17" s="14"/>
      <c r="Q17" s="13">
        <f>Q14-F12</f>
        <v>-7</v>
      </c>
      <c r="R17" s="12">
        <f>SUM(B17:N17)</f>
        <v>0</v>
      </c>
      <c r="S17" s="36">
        <v>0</v>
      </c>
      <c r="T17" s="1"/>
    </row>
    <row r="18" spans="2:35" x14ac:dyDescent="0.2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5"/>
      <c r="Q18" s="10"/>
      <c r="R18" s="6"/>
      <c r="S18" s="35"/>
      <c r="T18" s="1"/>
    </row>
    <row r="19" spans="2:35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35" ht="16" thickBot="1" x14ac:dyDescent="0.25">
      <c r="B20" s="12"/>
      <c r="C20" s="2"/>
      <c r="D20" s="15"/>
      <c r="E20" s="2"/>
      <c r="F20" s="2"/>
      <c r="G20" s="2"/>
      <c r="H20" s="15"/>
      <c r="I20" s="2"/>
      <c r="J20" s="2"/>
      <c r="K20" s="2"/>
      <c r="L20" s="2"/>
      <c r="M20" s="2"/>
      <c r="N20" s="14"/>
      <c r="Q20" s="13"/>
      <c r="R20" s="12"/>
      <c r="S20" s="36"/>
      <c r="T20" s="1"/>
    </row>
    <row r="21" spans="2:35" ht="16" thickBot="1" x14ac:dyDescent="0.25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  <c r="AI21" s="46" t="s">
        <v>46</v>
      </c>
    </row>
    <row r="22" spans="2:35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90</v>
      </c>
      <c r="W22" s="10">
        <f>S8</f>
        <v>17640</v>
      </c>
      <c r="AI22" s="46" t="s">
        <v>41</v>
      </c>
    </row>
    <row r="23" spans="2:35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/>
      <c r="R23" s="7"/>
      <c r="S23" s="37"/>
      <c r="T23" s="1"/>
      <c r="V23" s="6">
        <f>Q11</f>
        <v>19</v>
      </c>
      <c r="W23" s="10">
        <f>S11</f>
        <v>2373.8160469667318</v>
      </c>
    </row>
    <row r="24" spans="2:35" x14ac:dyDescent="0.2">
      <c r="V24" s="6">
        <f>Q14</f>
        <v>18</v>
      </c>
      <c r="W24" s="10">
        <f>S14</f>
        <v>2129.1208791208792</v>
      </c>
    </row>
    <row r="25" spans="2:35" x14ac:dyDescent="0.2">
      <c r="V25" s="6">
        <f>Q17</f>
        <v>-7</v>
      </c>
      <c r="W25" s="10">
        <f>S17</f>
        <v>0</v>
      </c>
    </row>
    <row r="26" spans="2:35" x14ac:dyDescent="0.2">
      <c r="V26" s="6">
        <f>Q20</f>
        <v>0</v>
      </c>
      <c r="W26" s="10">
        <f>S20</f>
        <v>0</v>
      </c>
    </row>
    <row r="27" spans="2:35" ht="16" thickBot="1" x14ac:dyDescent="0.25">
      <c r="B27" s="18"/>
      <c r="C27" t="s">
        <v>32</v>
      </c>
      <c r="V27" s="7">
        <f>Q23</f>
        <v>0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37AE-E028-734C-B55C-5BF7BB266511}">
  <dimension ref="A1:AJ27"/>
  <sheetViews>
    <sheetView topLeftCell="K1" workbookViewId="0">
      <selection activeCell="W36" sqref="W36"/>
    </sheetView>
  </sheetViews>
  <sheetFormatPr baseColWidth="10" defaultColWidth="8.83203125" defaultRowHeight="15" x14ac:dyDescent="0.2"/>
  <cols>
    <col min="1" max="1" width="18.1640625" customWidth="1"/>
    <col min="2" max="2" width="9.83203125" customWidth="1"/>
    <col min="5" max="5" width="9.33203125" bestFit="1" customWidth="1"/>
    <col min="13" max="13" width="9.6640625" customWidth="1"/>
    <col min="14" max="14" width="10.83203125" customWidth="1"/>
    <col min="16" max="16" width="15.5" customWidth="1"/>
    <col min="17" max="17" width="19.5" customWidth="1"/>
    <col min="18" max="18" width="18.33203125" customWidth="1"/>
    <col min="19" max="19" width="22.33203125" customWidth="1"/>
    <col min="20" max="20" width="18.6640625" customWidth="1"/>
    <col min="21" max="21" width="18.5" customWidth="1"/>
    <col min="22" max="22" width="12.1640625" customWidth="1"/>
    <col min="23" max="23" width="13.5" customWidth="1"/>
    <col min="24" max="24" width="14.5" customWidth="1"/>
  </cols>
  <sheetData>
    <row r="1" spans="1:36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36" ht="16" thickBot="1" x14ac:dyDescent="0.25">
      <c r="A2" s="16" t="s">
        <v>33</v>
      </c>
      <c r="C2" s="7">
        <v>66</v>
      </c>
      <c r="D2" s="26"/>
      <c r="E2" s="26">
        <v>132</v>
      </c>
      <c r="F2" s="26"/>
      <c r="G2" s="26">
        <v>132</v>
      </c>
      <c r="H2" s="26"/>
      <c r="I2" s="26">
        <v>132</v>
      </c>
      <c r="J2" s="26"/>
      <c r="K2" s="26">
        <v>132</v>
      </c>
      <c r="L2" s="26"/>
      <c r="M2" s="8">
        <v>66</v>
      </c>
      <c r="O2" s="42">
        <v>52</v>
      </c>
      <c r="P2" s="43">
        <v>32</v>
      </c>
    </row>
    <row r="3" spans="1:36" x14ac:dyDescent="0.2">
      <c r="C3" s="1"/>
      <c r="D3" s="1"/>
      <c r="E3" s="1"/>
      <c r="F3" s="1"/>
      <c r="G3" s="1"/>
      <c r="H3" s="1"/>
      <c r="I3" s="1"/>
      <c r="J3" s="1"/>
      <c r="K3" s="1"/>
      <c r="Q3" t="s">
        <v>36</v>
      </c>
    </row>
    <row r="4" spans="1:36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36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  <c r="AJ5" s="46" t="s">
        <v>42</v>
      </c>
    </row>
    <row r="6" spans="1:36" x14ac:dyDescent="0.2">
      <c r="A6" t="s">
        <v>25</v>
      </c>
      <c r="B6" s="6">
        <v>0</v>
      </c>
      <c r="C6" s="1"/>
      <c r="D6" s="1">
        <f>14+O2</f>
        <v>66</v>
      </c>
      <c r="E6" s="1"/>
      <c r="F6" s="1">
        <f>91+O2</f>
        <v>143</v>
      </c>
      <c r="G6" s="1"/>
      <c r="H6" s="1">
        <f>96+O2</f>
        <v>148</v>
      </c>
      <c r="I6" s="1"/>
      <c r="J6" s="1">
        <f>92+O2</f>
        <v>144</v>
      </c>
      <c r="K6" s="1"/>
      <c r="L6" s="1">
        <f>37+O2</f>
        <v>89</v>
      </c>
      <c r="M6" s="1"/>
      <c r="N6" s="5">
        <v>0</v>
      </c>
      <c r="Q6" s="10"/>
      <c r="R6" s="4"/>
      <c r="S6" s="35"/>
      <c r="T6" s="1"/>
      <c r="V6" s="6">
        <f>Q8</f>
        <v>84</v>
      </c>
      <c r="W6" s="10">
        <f>R8</f>
        <v>764.11185871733244</v>
      </c>
      <c r="AJ6" s="46" t="s">
        <v>43</v>
      </c>
    </row>
    <row r="7" spans="1:36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18</v>
      </c>
      <c r="W7" s="10">
        <f>R11</f>
        <v>588.60626675317349</v>
      </c>
    </row>
    <row r="8" spans="1:36" x14ac:dyDescent="0.2">
      <c r="B8" s="12"/>
      <c r="C8" s="2">
        <f>SQRT(D6^2+C2^2)</f>
        <v>93.338095116624274</v>
      </c>
      <c r="D8" s="2"/>
      <c r="E8" s="2">
        <f>SQRT((F6-D6)^2+E2^2)</f>
        <v>152.81688388394784</v>
      </c>
      <c r="F8" s="2"/>
      <c r="G8" s="2">
        <f>SQRT((H6-F6)^2+G2^2)</f>
        <v>132.09466302617983</v>
      </c>
      <c r="H8" s="2"/>
      <c r="I8" s="2">
        <f>SQRT((H6-J6)^2+I2^2)</f>
        <v>132.06059215375342</v>
      </c>
      <c r="J8" s="2"/>
      <c r="K8" s="2">
        <f>SQRT((J6-L6)^2+K2^2)</f>
        <v>143</v>
      </c>
      <c r="L8" s="2"/>
      <c r="M8" s="2">
        <f>SQRT(M2^2+L6^2)</f>
        <v>110.80162453682708</v>
      </c>
      <c r="N8" s="14"/>
      <c r="Q8" s="13">
        <f>O2+P2</f>
        <v>84</v>
      </c>
      <c r="R8" s="12">
        <f>SUM(B8:N8)</f>
        <v>764.11185871733244</v>
      </c>
      <c r="S8" s="36">
        <f>(0.5*D6*C2)+(E2*D6+0.5*E2*(F6-D6))+(G2*F6+0.5*G2*(H6-F6))+(I2*J6+0.5*I2*(H6-J6))+(K2*L6+0.5*K2*(J6-L6))+(0.5*M2*L6)</f>
        <v>72765</v>
      </c>
      <c r="T8" s="1"/>
      <c r="V8" s="6">
        <f>Q14</f>
        <v>-5</v>
      </c>
      <c r="W8" s="10">
        <f>R14</f>
        <v>514.32553738426031</v>
      </c>
    </row>
    <row r="9" spans="1:36" x14ac:dyDescent="0.2">
      <c r="A9" t="s">
        <v>26</v>
      </c>
      <c r="B9" s="6"/>
      <c r="C9" s="1"/>
      <c r="D9" s="1">
        <v>0</v>
      </c>
      <c r="E9" s="1"/>
      <c r="F9" s="1">
        <f>F6-D6</f>
        <v>77</v>
      </c>
      <c r="G9" s="1"/>
      <c r="H9" s="1">
        <f>H6-D6</f>
        <v>82</v>
      </c>
      <c r="I9" s="1"/>
      <c r="J9" s="1">
        <f>J6-D6</f>
        <v>78</v>
      </c>
      <c r="K9" s="1"/>
      <c r="L9" s="1">
        <f>L6-D6</f>
        <v>23</v>
      </c>
      <c r="M9" s="1"/>
      <c r="N9" s="5"/>
      <c r="Q9" s="10"/>
      <c r="R9" s="6"/>
      <c r="S9" s="35"/>
      <c r="T9" s="1"/>
      <c r="V9" s="6">
        <f>Q17</f>
        <v>-59</v>
      </c>
      <c r="W9" s="10">
        <f>R17</f>
        <v>266.75525517993327</v>
      </c>
    </row>
    <row r="10" spans="1:36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-60</v>
      </c>
      <c r="W10" s="10">
        <f>R20</f>
        <v>237.73632257469728</v>
      </c>
    </row>
    <row r="11" spans="1:36" ht="16" thickBot="1" x14ac:dyDescent="0.25">
      <c r="B11" s="12"/>
      <c r="C11" s="2">
        <v>0</v>
      </c>
      <c r="D11" s="2"/>
      <c r="E11" s="2">
        <f>SQRT(E2^2+(F6-D6)^2)</f>
        <v>152.81688388394784</v>
      </c>
      <c r="F11" s="2"/>
      <c r="G11" s="2">
        <f>SQRT((H6-F6)^2+G2^2)</f>
        <v>132.09466302617983</v>
      </c>
      <c r="H11" s="2"/>
      <c r="I11" s="2">
        <f>SQRT((H6-J6)^2+K2^2)</f>
        <v>132.06059215375342</v>
      </c>
      <c r="J11" s="2"/>
      <c r="K11" s="2">
        <f>SQRT((J6-L6)^2+K2^2)</f>
        <v>143</v>
      </c>
      <c r="L11" s="19"/>
      <c r="M11" s="2">
        <f>SQRT((M2*(L6-D6)/L6)^2+(L6-D6)^2)</f>
        <v>28.634127689292391</v>
      </c>
      <c r="N11" s="14"/>
      <c r="Q11" s="13">
        <f>Q8-D6</f>
        <v>18</v>
      </c>
      <c r="R11" s="12">
        <f>SUM(B11:N11)</f>
        <v>588.60626675317349</v>
      </c>
      <c r="S11" s="36">
        <f>(0.5*E2*(F6-D6))+(G2*(F6-D6)+0.5*G2*(H6-F6))+(I2*(J6-D6)+0.5*I2*(H6-J6))+(K2*(L6-D6)+0.5*K2*(J6-L6))+(0.5*M2*(L6-D6)^2/L6)</f>
        <v>32998.146067415728</v>
      </c>
      <c r="T11" s="1"/>
      <c r="V11" s="7">
        <f>Q23</f>
        <v>-64</v>
      </c>
      <c r="W11" s="11">
        <f>R23</f>
        <v>0</v>
      </c>
    </row>
    <row r="12" spans="1:36" x14ac:dyDescent="0.2">
      <c r="A12" t="s">
        <v>27</v>
      </c>
      <c r="B12" s="6"/>
      <c r="C12" s="1"/>
      <c r="D12" s="1"/>
      <c r="E12" s="1"/>
      <c r="F12" s="1">
        <f>F9-L9</f>
        <v>54</v>
      </c>
      <c r="G12" s="1"/>
      <c r="H12" s="1">
        <f>H9-L9</f>
        <v>59</v>
      </c>
      <c r="I12" s="1"/>
      <c r="J12" s="1">
        <f>J9-L9</f>
        <v>55</v>
      </c>
      <c r="K12" s="1"/>
      <c r="L12" s="1">
        <v>0</v>
      </c>
      <c r="M12" s="1"/>
      <c r="N12" s="5"/>
      <c r="Q12" s="10"/>
      <c r="R12" s="6"/>
      <c r="S12" s="35"/>
      <c r="T12" s="1"/>
    </row>
    <row r="13" spans="1:36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36" x14ac:dyDescent="0.2">
      <c r="B14" s="12"/>
      <c r="C14" s="2"/>
      <c r="D14" s="2"/>
      <c r="E14" s="2">
        <f>SQRT((E2*(F6-L6)/(F6-D6))^2+(F6-L6)^2)</f>
        <v>107.17028220432707</v>
      </c>
      <c r="F14" s="2"/>
      <c r="G14" s="2">
        <f>SQRT((H6-F6)^2+G2^2)</f>
        <v>132.09466302617983</v>
      </c>
      <c r="H14" s="2"/>
      <c r="I14" s="2">
        <f>SQRT((H6-J6)^2+I2^2)</f>
        <v>132.06059215375342</v>
      </c>
      <c r="J14" s="2"/>
      <c r="K14" s="2">
        <f>SQRT((J6-L6)^2+K2^2)</f>
        <v>143</v>
      </c>
      <c r="L14" s="2"/>
      <c r="M14" s="2"/>
      <c r="N14" s="14"/>
      <c r="Q14" s="13">
        <f>Q8-L6</f>
        <v>-5</v>
      </c>
      <c r="R14" s="12">
        <f>SUM(B14:N14)</f>
        <v>514.32553738426031</v>
      </c>
      <c r="S14" s="36">
        <f>(0.5*E2*(F6-L6)^2/(F6-D6))+(G2*(F6-L6)+0.5*G2*(H6-F6))+(I2*(J6-L6)+0.5*I2*(H6-J6))+(0.5*K2*(J6-L6))</f>
        <v>21111.428571428572</v>
      </c>
      <c r="T14" s="1"/>
    </row>
    <row r="15" spans="1:36" x14ac:dyDescent="0.2">
      <c r="A15" t="s">
        <v>30</v>
      </c>
      <c r="B15" s="6"/>
      <c r="C15" s="1"/>
      <c r="D15" s="1"/>
      <c r="E15" s="1"/>
      <c r="F15" s="1">
        <v>0</v>
      </c>
      <c r="G15" s="1"/>
      <c r="H15" s="1">
        <f>H12-F12</f>
        <v>5</v>
      </c>
      <c r="I15" s="1"/>
      <c r="J15" s="1">
        <f>J12-F12</f>
        <v>1</v>
      </c>
      <c r="K15" s="1"/>
      <c r="L15" s="1"/>
      <c r="M15" s="1"/>
      <c r="N15" s="5"/>
      <c r="Q15" s="10"/>
      <c r="R15" s="6"/>
      <c r="S15" s="35"/>
      <c r="T15" s="1"/>
    </row>
    <row r="16" spans="1:36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1:36" x14ac:dyDescent="0.2">
      <c r="B17" s="12"/>
      <c r="C17" s="2"/>
      <c r="D17" s="2"/>
      <c r="E17" s="2"/>
      <c r="F17" s="2"/>
      <c r="G17" s="2">
        <f>SQRT(G2^2+(H6-F6)^2)</f>
        <v>132.09466302617983</v>
      </c>
      <c r="H17" s="2"/>
      <c r="I17" s="2">
        <f>SQRT(I2^2+(H6-J6)^2)</f>
        <v>132.06059215375342</v>
      </c>
      <c r="J17" s="2"/>
      <c r="K17" s="2">
        <f>SQRT((K2*(J6-F6)/(J6-L6))^2+(J6-F6)^2)</f>
        <v>2.6</v>
      </c>
      <c r="L17" s="2"/>
      <c r="M17" s="2"/>
      <c r="N17" s="14"/>
      <c r="Q17" s="13">
        <f>Q8-F6</f>
        <v>-59</v>
      </c>
      <c r="R17" s="12">
        <f>SUM(B17:N17)</f>
        <v>266.75525517993327</v>
      </c>
      <c r="S17" s="36">
        <f>(0.5*G3*(H6-F6))+(I2*(J6-F6)+0.5*I2*(H6-J6))+(0.5*K2*(J6-F6)^2/(J6-L6))</f>
        <v>397.2</v>
      </c>
      <c r="T17" s="1"/>
    </row>
    <row r="18" spans="1:36" x14ac:dyDescent="0.2">
      <c r="A18" t="s">
        <v>28</v>
      </c>
      <c r="B18" s="6"/>
      <c r="C18" s="1"/>
      <c r="D18" s="1"/>
      <c r="E18" s="1"/>
      <c r="F18" s="1"/>
      <c r="G18" s="1"/>
      <c r="H18" s="1">
        <f>H15-J15</f>
        <v>4</v>
      </c>
      <c r="I18" s="1"/>
      <c r="J18" s="1">
        <v>0</v>
      </c>
      <c r="K18" s="1"/>
      <c r="L18" s="1"/>
      <c r="M18" s="1"/>
      <c r="N18" s="5"/>
      <c r="Q18" s="10"/>
      <c r="R18" s="6"/>
      <c r="S18" s="35"/>
      <c r="T18" s="1"/>
    </row>
    <row r="19" spans="1:36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1:36" ht="16" thickBot="1" x14ac:dyDescent="0.25">
      <c r="B20" s="12"/>
      <c r="C20" s="2"/>
      <c r="D20" s="2"/>
      <c r="E20" s="2"/>
      <c r="F20" s="2"/>
      <c r="G20" s="2">
        <f>SQRT((G2*(H6-J6)/(H6-F6))^2+(H6-J6)^2)</f>
        <v>105.67573042094385</v>
      </c>
      <c r="H20" s="2"/>
      <c r="I20" s="2">
        <f>SQRT((H6-J6)^2+I2^2)</f>
        <v>132.06059215375342</v>
      </c>
      <c r="J20" s="2"/>
      <c r="K20" s="2"/>
      <c r="L20" s="2"/>
      <c r="M20" s="2"/>
      <c r="N20" s="14"/>
      <c r="Q20" s="13">
        <f>Q8-J6</f>
        <v>-60</v>
      </c>
      <c r="R20" s="12">
        <f>SUM(B20:N20)</f>
        <v>237.73632257469728</v>
      </c>
      <c r="S20" s="36">
        <f>(0.5*G2*(H6-J6)^2/(H6-F6))+(0.5*I2*(H6-J6))</f>
        <v>475.2</v>
      </c>
      <c r="T20" s="1"/>
    </row>
    <row r="21" spans="1:36" ht="16" thickBot="1" x14ac:dyDescent="0.25">
      <c r="A21" t="s">
        <v>29</v>
      </c>
      <c r="B21" s="6"/>
      <c r="C21" s="1"/>
      <c r="D21" s="1"/>
      <c r="E21" s="1"/>
      <c r="F21" s="1"/>
      <c r="G21" s="1"/>
      <c r="H21" s="1">
        <v>0</v>
      </c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1:36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84</v>
      </c>
      <c r="W22" s="10">
        <f>S8</f>
        <v>72765</v>
      </c>
      <c r="AJ22" s="46" t="s">
        <v>40</v>
      </c>
    </row>
    <row r="23" spans="1:36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Q8-H6</f>
        <v>-64</v>
      </c>
      <c r="R23" s="7">
        <f>SUM(B23:N23)</f>
        <v>0</v>
      </c>
      <c r="S23" s="37">
        <v>0</v>
      </c>
      <c r="T23" s="1"/>
      <c r="V23" s="6">
        <f>Q11</f>
        <v>18</v>
      </c>
      <c r="W23" s="10">
        <f>S11</f>
        <v>32998.146067415728</v>
      </c>
      <c r="AJ23" s="46" t="s">
        <v>41</v>
      </c>
    </row>
    <row r="24" spans="1:36" x14ac:dyDescent="0.2">
      <c r="V24" s="6">
        <f>Q14</f>
        <v>-5</v>
      </c>
      <c r="W24" s="10">
        <f>S14</f>
        <v>21111.428571428572</v>
      </c>
    </row>
    <row r="25" spans="1:36" x14ac:dyDescent="0.2">
      <c r="V25" s="6">
        <f>Q17</f>
        <v>-59</v>
      </c>
      <c r="W25" s="10">
        <f>S17</f>
        <v>397.2</v>
      </c>
    </row>
    <row r="26" spans="1:36" x14ac:dyDescent="0.2">
      <c r="V26" s="6">
        <f>Q20</f>
        <v>-60</v>
      </c>
      <c r="W26" s="10">
        <f>S20</f>
        <v>475.2</v>
      </c>
    </row>
    <row r="27" spans="1:36" ht="16" thickBot="1" x14ac:dyDescent="0.25">
      <c r="V27" s="7">
        <f>Q23</f>
        <v>-64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F8B2-12D7-F946-998D-577E3203BC57}">
  <dimension ref="A1:AL27"/>
  <sheetViews>
    <sheetView topLeftCell="R1" workbookViewId="0">
      <selection activeCell="AR28" sqref="AR28"/>
    </sheetView>
  </sheetViews>
  <sheetFormatPr baseColWidth="10" defaultColWidth="8.83203125" defaultRowHeight="15" x14ac:dyDescent="0.2"/>
  <cols>
    <col min="1" max="1" width="18.1640625" customWidth="1"/>
    <col min="2" max="2" width="9.83203125" customWidth="1"/>
    <col min="5" max="5" width="9.33203125" bestFit="1" customWidth="1"/>
    <col min="13" max="13" width="9.6640625" customWidth="1"/>
    <col min="14" max="14" width="10.83203125" customWidth="1"/>
    <col min="16" max="16" width="15.5" customWidth="1"/>
    <col min="17" max="17" width="19.5" customWidth="1"/>
    <col min="18" max="18" width="18.33203125" customWidth="1"/>
    <col min="19" max="19" width="22.33203125" customWidth="1"/>
    <col min="20" max="20" width="18.6640625" customWidth="1"/>
    <col min="21" max="21" width="18.5" customWidth="1"/>
    <col min="22" max="22" width="12.1640625" customWidth="1"/>
    <col min="23" max="23" width="13.5" customWidth="1"/>
    <col min="24" max="24" width="14.5" customWidth="1"/>
  </cols>
  <sheetData>
    <row r="1" spans="1:38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38" ht="16" thickBot="1" x14ac:dyDescent="0.25">
      <c r="A2" s="16" t="s">
        <v>33</v>
      </c>
      <c r="C2" s="7">
        <v>103</v>
      </c>
      <c r="D2" s="26"/>
      <c r="E2" s="26">
        <v>206</v>
      </c>
      <c r="F2" s="26"/>
      <c r="G2" s="26">
        <v>206</v>
      </c>
      <c r="H2" s="26"/>
      <c r="I2" s="26">
        <v>206</v>
      </c>
      <c r="J2" s="26"/>
      <c r="K2" s="26">
        <v>206</v>
      </c>
      <c r="L2" s="26"/>
      <c r="M2" s="8">
        <v>103</v>
      </c>
      <c r="O2" s="42">
        <v>12</v>
      </c>
      <c r="P2" s="43">
        <v>58</v>
      </c>
    </row>
    <row r="3" spans="1:38" x14ac:dyDescent="0.2">
      <c r="C3" s="1"/>
      <c r="D3" s="1"/>
      <c r="E3" s="1"/>
      <c r="F3" s="1"/>
      <c r="G3" s="1"/>
      <c r="H3" s="1"/>
      <c r="I3" s="1"/>
      <c r="J3" s="1"/>
      <c r="K3" s="1"/>
      <c r="Q3" t="s">
        <v>37</v>
      </c>
    </row>
    <row r="4" spans="1:38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38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38" x14ac:dyDescent="0.2">
      <c r="A6" t="s">
        <v>25</v>
      </c>
      <c r="B6" s="6">
        <v>0</v>
      </c>
      <c r="C6" s="1"/>
      <c r="D6" s="1">
        <f>41+O2</f>
        <v>53</v>
      </c>
      <c r="E6" s="1"/>
      <c r="F6" s="1">
        <f>39+O2</f>
        <v>51</v>
      </c>
      <c r="G6" s="1"/>
      <c r="H6" s="1">
        <f>51+O2</f>
        <v>63</v>
      </c>
      <c r="I6" s="1"/>
      <c r="J6" s="1">
        <f>64+O2</f>
        <v>76</v>
      </c>
      <c r="K6" s="1"/>
      <c r="L6" s="1">
        <f>64+O2</f>
        <v>76</v>
      </c>
      <c r="M6" s="1"/>
      <c r="N6" s="5">
        <v>0</v>
      </c>
      <c r="Q6" s="10"/>
      <c r="R6" s="4"/>
      <c r="S6" s="35"/>
      <c r="T6" s="1"/>
      <c r="V6" s="6">
        <f>Q8</f>
        <v>70</v>
      </c>
      <c r="W6" s="10">
        <f>R8</f>
        <v>1068.6087109426614</v>
      </c>
    </row>
    <row r="7" spans="1:38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19</v>
      </c>
      <c r="W7" s="10">
        <f>R11</f>
        <v>871.2464349957811</v>
      </c>
    </row>
    <row r="8" spans="1:38" x14ac:dyDescent="0.2">
      <c r="B8" s="12"/>
      <c r="C8" s="2">
        <f>SQRT(D6^2+C2^2)</f>
        <v>115.83609109426992</v>
      </c>
      <c r="D8" s="2"/>
      <c r="E8" s="2">
        <f>SQRT((D6-F6)^2+E2^2)</f>
        <v>206.00970850908945</v>
      </c>
      <c r="F8" s="2"/>
      <c r="G8" s="2">
        <f>SQRT((H6-F6)^2+G2^2)</f>
        <v>206.3492185592182</v>
      </c>
      <c r="H8" s="2"/>
      <c r="I8" s="2">
        <f>SQRT((J6-H6)^2+I2^2)</f>
        <v>206.40978658968669</v>
      </c>
      <c r="J8" s="2"/>
      <c r="K8" s="2">
        <f>K2</f>
        <v>206</v>
      </c>
      <c r="L8" s="2"/>
      <c r="M8" s="2">
        <f>+SQRT(L6^2+M2^2)</f>
        <v>128.00390619039717</v>
      </c>
      <c r="N8" s="14"/>
      <c r="Q8" s="13">
        <f>O2+P2</f>
        <v>70</v>
      </c>
      <c r="R8" s="12">
        <f>SUM(B8:N8)</f>
        <v>1068.6087109426614</v>
      </c>
      <c r="S8" s="36">
        <f>(0.5*C2*D6)+(E2*F6+0.5*E2*(D6-F6))+(G2*F6+0.5*G2*(H6-F6))+(I2*H6+0.5*I2*(J6-H6))+(K2*J6)+(0.5*M2*L6)</f>
        <v>59070.5</v>
      </c>
      <c r="T8" s="1"/>
      <c r="V8" s="6">
        <f>Q14</f>
        <v>17</v>
      </c>
      <c r="W8" s="10">
        <f>R14</f>
        <v>623.10549296419924</v>
      </c>
    </row>
    <row r="9" spans="1:38" x14ac:dyDescent="0.2">
      <c r="B9" s="6"/>
      <c r="C9" s="1"/>
      <c r="D9" s="1">
        <f>D6-F6</f>
        <v>2</v>
      </c>
      <c r="E9" s="1"/>
      <c r="F9" s="1">
        <v>0</v>
      </c>
      <c r="G9" s="1"/>
      <c r="H9" s="1">
        <f>H6-F6</f>
        <v>12</v>
      </c>
      <c r="I9" s="1"/>
      <c r="J9" s="1">
        <f>J6-F6</f>
        <v>25</v>
      </c>
      <c r="K9" s="1"/>
      <c r="L9" s="1">
        <f>L6-F6</f>
        <v>25</v>
      </c>
      <c r="M9" s="1"/>
      <c r="N9" s="5"/>
      <c r="Q9" s="10"/>
      <c r="R9" s="6"/>
      <c r="S9" s="35"/>
      <c r="T9" s="1"/>
      <c r="V9" s="6">
        <f>Q17</f>
        <v>7</v>
      </c>
      <c r="W9" s="10">
        <f>R17</f>
        <v>434.30519159593882</v>
      </c>
    </row>
    <row r="10" spans="1:38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-6</v>
      </c>
      <c r="W10" s="10">
        <f>R20</f>
        <v>0</v>
      </c>
    </row>
    <row r="11" spans="1:38" ht="16" thickBot="1" x14ac:dyDescent="0.25">
      <c r="B11" s="12"/>
      <c r="C11" s="2">
        <f>SQRT((C2*(D6-F6)/D6)^2+(D6-F6)^2)</f>
        <v>4.3711732488403747</v>
      </c>
      <c r="D11" s="2"/>
      <c r="E11" s="2">
        <f>SQRT((D6-F6)^2+E2^2)</f>
        <v>206.00970850908945</v>
      </c>
      <c r="F11" s="2"/>
      <c r="G11" s="2">
        <f>SQRT((H6-F6)^2+G2^2)</f>
        <v>206.3492185592182</v>
      </c>
      <c r="H11" s="2"/>
      <c r="I11" s="2">
        <f>SQRT((J6-H6)^2+I2^2)</f>
        <v>206.40978658968669</v>
      </c>
      <c r="J11" s="2"/>
      <c r="K11" s="2">
        <f>K2</f>
        <v>206</v>
      </c>
      <c r="L11" s="19"/>
      <c r="M11" s="2">
        <f>SQRT((M2*(L6-F6)/L6)^2+(L6-F6)^2)</f>
        <v>42.10654808894644</v>
      </c>
      <c r="N11" s="14"/>
      <c r="Q11" s="13">
        <f>Q8-F6</f>
        <v>19</v>
      </c>
      <c r="R11" s="12">
        <f>SUM(B11:N11)</f>
        <v>871.2464349957811</v>
      </c>
      <c r="S11" s="36">
        <f>(0.5*C2*(D6-F6)^2/D6)+(0.5*E2*(F6-D6))+(0.5*G2*(H6-F6))+(I2*(H6-F6)+0.5*I2*(J6-H6))+(K2*(J6-F6))+(0.5*M2*(L6-F6)^2/L6)</f>
        <v>10418.406529294936</v>
      </c>
      <c r="T11" s="1"/>
      <c r="V11" s="7">
        <f>Q23</f>
        <v>0</v>
      </c>
      <c r="W11" s="11">
        <f>R23</f>
        <v>0</v>
      </c>
    </row>
    <row r="12" spans="1:38" x14ac:dyDescent="0.2">
      <c r="B12" s="6"/>
      <c r="C12" s="1"/>
      <c r="D12" s="1">
        <v>0</v>
      </c>
      <c r="E12" s="1"/>
      <c r="F12" s="1"/>
      <c r="G12" s="1"/>
      <c r="H12" s="1">
        <f>H9-D9</f>
        <v>10</v>
      </c>
      <c r="I12" s="1"/>
      <c r="J12" s="1">
        <f>J9-D9</f>
        <v>23</v>
      </c>
      <c r="K12" s="1"/>
      <c r="L12" s="1">
        <f>L9-D9</f>
        <v>23</v>
      </c>
      <c r="M12" s="1"/>
      <c r="N12" s="5"/>
      <c r="Q12" s="10"/>
      <c r="R12" s="6"/>
      <c r="S12" s="35"/>
      <c r="T12" s="1"/>
    </row>
    <row r="13" spans="1:38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38" x14ac:dyDescent="0.2">
      <c r="B14" s="12"/>
      <c r="C14" s="38"/>
      <c r="D14" s="39"/>
      <c r="E14" s="39"/>
      <c r="F14" s="39"/>
      <c r="G14" s="38">
        <f>SQRT((G2*(H6-D6)/(H6-F6))^2+(H6-D6)^2)</f>
        <v>171.95768213268181</v>
      </c>
      <c r="H14" s="2"/>
      <c r="I14" s="2">
        <f>SQRT((J6-H6)^2+I2^2)</f>
        <v>206.40978658968669</v>
      </c>
      <c r="J14" s="2"/>
      <c r="K14" s="2">
        <f>K2</f>
        <v>206</v>
      </c>
      <c r="L14" s="2"/>
      <c r="M14" s="2">
        <f>SQRT((M2*(L6-D6)/L6)^2+(L6-D6)^2)</f>
        <v>38.738024241830722</v>
      </c>
      <c r="N14" s="14"/>
      <c r="Q14" s="13">
        <f>Q8-D6</f>
        <v>17</v>
      </c>
      <c r="R14" s="12">
        <f>SUM(B14:N14)</f>
        <v>623.10549296419924</v>
      </c>
      <c r="S14" s="36">
        <f>(0.5*G2*(H6-D6)^2/(H6-F6))+(I2*(H6-D6)+0.5*I2*(J6-H6))+(K2*(L6-D6))+(0.5*M2*(L6-D6)^2/L6)</f>
        <v>9353.8004385964905</v>
      </c>
      <c r="T14" s="1"/>
    </row>
    <row r="15" spans="1:38" x14ac:dyDescent="0.2">
      <c r="B15" s="6"/>
      <c r="C15" s="1"/>
      <c r="D15" s="1"/>
      <c r="E15" s="1"/>
      <c r="F15" s="1"/>
      <c r="G15" s="1"/>
      <c r="H15" s="1">
        <v>0</v>
      </c>
      <c r="I15" s="1"/>
      <c r="J15" s="1">
        <f>J12-H12</f>
        <v>13</v>
      </c>
      <c r="K15" s="1"/>
      <c r="L15" s="1">
        <f>L12-H12</f>
        <v>13</v>
      </c>
      <c r="M15" s="1"/>
      <c r="N15" s="5"/>
      <c r="Q15" s="10"/>
      <c r="R15" s="6"/>
      <c r="S15" s="35"/>
      <c r="T15" s="1"/>
    </row>
    <row r="16" spans="1:38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/>
      <c r="F17" s="2"/>
      <c r="G17" s="2"/>
      <c r="H17" s="2"/>
      <c r="I17" s="2">
        <f>+SQRT((J6-H6)^2+I2^2)</f>
        <v>206.40978658968669</v>
      </c>
      <c r="J17" s="2"/>
      <c r="K17" s="2">
        <f>K2</f>
        <v>206</v>
      </c>
      <c r="L17" s="2"/>
      <c r="M17" s="2">
        <f>SQRT((M2*(L6-H6)/L6)^2+(L6-H6)^2)</f>
        <v>21.895405006252147</v>
      </c>
      <c r="N17" s="14"/>
      <c r="Q17" s="13">
        <f>Q8-H6</f>
        <v>7</v>
      </c>
      <c r="R17" s="12">
        <f>SUM(B17:N17)</f>
        <v>434.30519159593882</v>
      </c>
      <c r="S17" s="36">
        <f>(0.5*I2*(J6-H6))+(K2*(J6-H6))+(0.5*M2*(L6-H6)^2/L6)</f>
        <v>4131.519736842105</v>
      </c>
      <c r="T17" s="1"/>
    </row>
    <row r="18" spans="2:23" x14ac:dyDescent="0.2">
      <c r="B18" s="6"/>
      <c r="C18" s="1"/>
      <c r="D18" s="1"/>
      <c r="E18" s="1"/>
      <c r="F18" s="1"/>
      <c r="G18" s="1"/>
      <c r="H18" s="1"/>
      <c r="I18" s="1"/>
      <c r="J18" s="1">
        <v>0</v>
      </c>
      <c r="K18" s="1"/>
      <c r="L18" s="1">
        <v>0</v>
      </c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/>
      <c r="F20" s="2"/>
      <c r="G20" s="2"/>
      <c r="H20" s="2"/>
      <c r="I20" s="2"/>
      <c r="J20" s="2"/>
      <c r="K20" s="2">
        <v>0</v>
      </c>
      <c r="L20" s="2"/>
      <c r="M20" s="2"/>
      <c r="N20" s="14"/>
      <c r="Q20" s="13">
        <f>Q8-J6</f>
        <v>-6</v>
      </c>
      <c r="R20" s="12">
        <f>SUM(B20:N20)</f>
        <v>0</v>
      </c>
      <c r="S20" s="36">
        <v>0</v>
      </c>
      <c r="T20" s="1"/>
    </row>
    <row r="21" spans="2:23" ht="16" thickBot="1" x14ac:dyDescent="0.25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70</v>
      </c>
      <c r="W22" s="10">
        <f>S8</f>
        <v>59070.5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/>
      <c r="R23" s="7"/>
      <c r="S23" s="37"/>
      <c r="T23" s="1"/>
      <c r="V23" s="6">
        <f>Q11</f>
        <v>19</v>
      </c>
      <c r="W23" s="10">
        <f>S11</f>
        <v>10418.406529294936</v>
      </c>
    </row>
    <row r="24" spans="2:23" x14ac:dyDescent="0.2">
      <c r="V24" s="6">
        <f>Q14</f>
        <v>17</v>
      </c>
      <c r="W24" s="10">
        <f>S14</f>
        <v>9353.8004385964905</v>
      </c>
    </row>
    <row r="25" spans="2:23" x14ac:dyDescent="0.2">
      <c r="V25" s="6">
        <f>Q17</f>
        <v>7</v>
      </c>
      <c r="W25" s="10">
        <f>S17</f>
        <v>4131.519736842105</v>
      </c>
    </row>
    <row r="26" spans="2:23" x14ac:dyDescent="0.2">
      <c r="V26" s="6">
        <f>Q20</f>
        <v>-6</v>
      </c>
      <c r="W26" s="10">
        <f>S20</f>
        <v>0</v>
      </c>
    </row>
    <row r="27" spans="2:23" ht="16" thickBot="1" x14ac:dyDescent="0.25">
      <c r="V27" s="7">
        <f>Q23</f>
        <v>0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8018-9B4F-8846-BF48-E1B482568921}">
  <dimension ref="A1:W27"/>
  <sheetViews>
    <sheetView workbookViewId="0">
      <selection activeCell="V22" sqref="V22:W27"/>
    </sheetView>
  </sheetViews>
  <sheetFormatPr baseColWidth="10" defaultRowHeight="15" x14ac:dyDescent="0.2"/>
  <cols>
    <col min="2" max="2" width="14.6640625" customWidth="1"/>
    <col min="17" max="17" width="16" customWidth="1"/>
    <col min="18" max="18" width="19" customWidth="1"/>
    <col min="19" max="19" width="16.83203125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81</v>
      </c>
      <c r="D2" s="26"/>
      <c r="E2" s="26">
        <v>162</v>
      </c>
      <c r="F2" s="26"/>
      <c r="G2" s="26">
        <v>162</v>
      </c>
      <c r="H2" s="26"/>
      <c r="I2" s="26">
        <v>162</v>
      </c>
      <c r="J2" s="26"/>
      <c r="K2" s="26">
        <v>162</v>
      </c>
      <c r="L2" s="26"/>
      <c r="M2" s="8">
        <v>81</v>
      </c>
      <c r="O2" s="42">
        <v>28</v>
      </c>
      <c r="P2" s="43">
        <v>23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22+O2</f>
        <v>50</v>
      </c>
      <c r="E6" s="1"/>
      <c r="F6" s="1">
        <f>12+O2</f>
        <v>40</v>
      </c>
      <c r="G6" s="1"/>
      <c r="H6" s="1">
        <f>14+O2</f>
        <v>42</v>
      </c>
      <c r="I6" s="1"/>
      <c r="J6" s="1">
        <f>1+O2</f>
        <v>29</v>
      </c>
      <c r="K6" s="1"/>
      <c r="L6" s="1">
        <f>5+O2</f>
        <v>33</v>
      </c>
      <c r="M6" s="1"/>
      <c r="N6" s="5">
        <v>0</v>
      </c>
      <c r="Q6" s="10"/>
      <c r="R6" s="4"/>
      <c r="S6" s="35"/>
      <c r="T6" s="1"/>
      <c r="V6" s="6">
        <f>Q8</f>
        <v>51</v>
      </c>
      <c r="W6" s="10">
        <f>R8</f>
        <v>831.54440036010612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22</v>
      </c>
      <c r="W7" s="10">
        <f>R11</f>
        <v>699.47206729077425</v>
      </c>
    </row>
    <row r="8" spans="1:23" x14ac:dyDescent="0.2">
      <c r="B8" s="12"/>
      <c r="C8" s="2">
        <f>SQRT(D6^2+C2^2)</f>
        <v>95.189285111298105</v>
      </c>
      <c r="D8" s="2"/>
      <c r="E8" s="2">
        <f>SQRT((D6-F6)^2+E2^2)</f>
        <v>162.30834852218786</v>
      </c>
      <c r="F8" s="2"/>
      <c r="G8" s="2">
        <f>SQRT((H6-F6)^2+G2^2)</f>
        <v>162.01234520862909</v>
      </c>
      <c r="H8" s="2"/>
      <c r="I8" s="2">
        <f>SQRT((H6-J6)^2+I2^2)</f>
        <v>162.5207679036744</v>
      </c>
      <c r="J8" s="2"/>
      <c r="K8" s="2">
        <f>SQRT((L6-J6)^2+K2^2)</f>
        <v>162.04937519163718</v>
      </c>
      <c r="L8" s="2"/>
      <c r="M8" s="2">
        <f>SQRT(L6^2+M2^2)</f>
        <v>87.464278422679513</v>
      </c>
      <c r="N8" s="14"/>
      <c r="Q8" s="13">
        <f>O2+P2</f>
        <v>51</v>
      </c>
      <c r="R8" s="12">
        <f>SUM(B8:N8)</f>
        <v>831.54440036010612</v>
      </c>
      <c r="S8" s="36">
        <f>(0.5*C2*D6)+(E2*F6+0.5*E2*(D6-F6))+(G2*F6+0.5*G2*(H6-F6))+(I2*J6+0.5*I2*(H6-J6))+(K2*J6+0.5*K2*(L6-J6))+(0.5*M2*L6)</f>
        <v>28066.5</v>
      </c>
      <c r="T8" s="1"/>
      <c r="V8" s="6">
        <f>Q14</f>
        <v>-11</v>
      </c>
      <c r="W8" s="10">
        <f>R14</f>
        <v>392.54703099118177</v>
      </c>
    </row>
    <row r="9" spans="1:23" x14ac:dyDescent="0.2">
      <c r="B9" s="6"/>
      <c r="C9" s="1"/>
      <c r="D9" s="1">
        <f>D6-J6</f>
        <v>21</v>
      </c>
      <c r="E9" s="1"/>
      <c r="F9" s="1">
        <f>F6-J6</f>
        <v>11</v>
      </c>
      <c r="G9" s="1"/>
      <c r="H9" s="1">
        <f>H6-J6</f>
        <v>13</v>
      </c>
      <c r="I9" s="1"/>
      <c r="J9" s="1">
        <v>0</v>
      </c>
      <c r="K9" s="1"/>
      <c r="L9" s="1">
        <f>L6-J6</f>
        <v>4</v>
      </c>
      <c r="M9" s="1"/>
      <c r="N9" s="5"/>
      <c r="Q9" s="10"/>
      <c r="R9" s="6"/>
      <c r="S9" s="35"/>
      <c r="T9" s="1"/>
      <c r="V9" s="6">
        <f>Q17</f>
        <v>-51</v>
      </c>
      <c r="W9" s="10">
        <f>R17</f>
        <v>368.36174581518031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-93</v>
      </c>
      <c r="W10" s="10">
        <f>R20</f>
        <v>145.07696443555798</v>
      </c>
    </row>
    <row r="11" spans="1:23" ht="16" thickBot="1" x14ac:dyDescent="0.25">
      <c r="B11" s="12"/>
      <c r="C11" s="2">
        <f>SQRT((C2*(D6-J6)/D6)^2+(D6-J6)^2)</f>
        <v>39.979499746745212</v>
      </c>
      <c r="D11" s="38"/>
      <c r="E11" s="39">
        <f>SQRT((D6-F6)^2+E2^2)</f>
        <v>162.30834852218786</v>
      </c>
      <c r="F11" s="38"/>
      <c r="G11" s="2">
        <f>SQRT((H6-F6)^2+E2^2)</f>
        <v>162.01234520862909</v>
      </c>
      <c r="H11" s="2"/>
      <c r="I11" s="2">
        <f>SQRT((H6-J6)^2+I2^2)</f>
        <v>162.5207679036744</v>
      </c>
      <c r="J11" s="2"/>
      <c r="K11" s="2">
        <f>SQRT((L6-J6)^2+K2^2)</f>
        <v>162.04937519163718</v>
      </c>
      <c r="L11" s="19"/>
      <c r="M11" s="2">
        <f>SQRT((M2*(L6-J6)/L6)^2+(L6-J6)^2)</f>
        <v>10.601730717900546</v>
      </c>
      <c r="N11" s="14"/>
      <c r="Q11" s="13">
        <f>Q8-J6</f>
        <v>22</v>
      </c>
      <c r="R11" s="12">
        <f>SUM(B11:N11)</f>
        <v>699.47206729077425</v>
      </c>
      <c r="S11" s="36">
        <f>(0.5*C2*(D6-J6)^2/D6)+(E2*(F6-J6)+0.5*E2*(D6-F6))+(G2*F6+0.5*G2*(H6-F6))+(I2*J6+0.5*K2*(L6-J6))+(0.5*M2*L6)</f>
        <v>15949.71</v>
      </c>
      <c r="T11" s="1"/>
      <c r="V11" s="7">
        <f>Q23</f>
        <v>-143</v>
      </c>
      <c r="W11" s="11">
        <f>R23</f>
        <v>0</v>
      </c>
    </row>
    <row r="12" spans="1:23" x14ac:dyDescent="0.2">
      <c r="B12" s="6"/>
      <c r="C12" s="1"/>
      <c r="D12" s="1">
        <f>D9-L9</f>
        <v>17</v>
      </c>
      <c r="E12" s="1"/>
      <c r="F12" s="1">
        <f>F9-L9</f>
        <v>7</v>
      </c>
      <c r="G12" s="1"/>
      <c r="H12" s="1">
        <f>H9-L9</f>
        <v>9</v>
      </c>
      <c r="I12" s="1"/>
      <c r="J12" s="1"/>
      <c r="K12" s="1"/>
      <c r="L12" s="1">
        <v>0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>
        <f>SQRT((C2*(D6-L6)/D6)^2+(D6-L6)^2)</f>
        <v>32.364356937841357</v>
      </c>
      <c r="D14" s="39"/>
      <c r="E14" s="39">
        <f>SQRT((D6-F6)^2+E2^2)</f>
        <v>162.30834852218786</v>
      </c>
      <c r="F14" s="39"/>
      <c r="G14" s="38">
        <f>SQRT((H6-F6)^2+G2^2)</f>
        <v>162.01234520862909</v>
      </c>
      <c r="H14" s="2"/>
      <c r="I14" s="2">
        <f>SQRT((I2*(H6-L6)/H6)^2+(H6-L6)^2)</f>
        <v>35.861980322523479</v>
      </c>
      <c r="J14" s="2"/>
      <c r="K14" s="2"/>
      <c r="L14" s="2"/>
      <c r="M14" s="2"/>
      <c r="N14" s="14"/>
      <c r="Q14" s="13">
        <f>Q11-L6</f>
        <v>-11</v>
      </c>
      <c r="R14" s="12">
        <f>SUM(B14:N14)</f>
        <v>392.54703099118177</v>
      </c>
      <c r="S14" s="36">
        <f>(0.5*C2*(D6-J6)^2/D6)+(E2*(F6-J6)+0.5*E2*(D6-F6))+(G2*(F6-J6)+0.5*G2*(H6-F6))+(0.5*I2*(H6-L6)^2/H6)</f>
        <v>5049.4242857142854</v>
      </c>
      <c r="T14" s="1"/>
    </row>
    <row r="15" spans="1:23" x14ac:dyDescent="0.2">
      <c r="B15" s="6"/>
      <c r="C15" s="1"/>
      <c r="D15" s="1">
        <f>D12-F12</f>
        <v>10</v>
      </c>
      <c r="E15" s="1"/>
      <c r="F15" s="1">
        <v>0</v>
      </c>
      <c r="G15" s="1"/>
      <c r="H15" s="1">
        <f>H12-F12</f>
        <v>2</v>
      </c>
      <c r="I15" s="1"/>
      <c r="J15" s="1"/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>
        <f>SQRT((C2*(D6-F6)/D6)^2+(D6-F6)^2)</f>
        <v>19.037857022259622</v>
      </c>
      <c r="D17" s="2"/>
      <c r="E17" s="2">
        <f>SQRT((D6-F6)^2+E2^2)</f>
        <v>162.30834852218786</v>
      </c>
      <c r="F17" s="2"/>
      <c r="G17" s="2">
        <f>SQRT((H6-F6)^2+G2^2)</f>
        <v>162.01234520862909</v>
      </c>
      <c r="H17" s="2"/>
      <c r="I17" s="2">
        <f>SQRT((I2*(H6-F6)/(H6-J6))^2+(H6-F6)^2)</f>
        <v>25.003195062103753</v>
      </c>
      <c r="J17" s="2"/>
      <c r="K17" s="2"/>
      <c r="L17" s="2"/>
      <c r="M17" s="2"/>
      <c r="N17" s="14"/>
      <c r="Q17" s="13">
        <f>Q14-F6</f>
        <v>-51</v>
      </c>
      <c r="R17" s="12">
        <f>SUM(B17:N17)</f>
        <v>368.36174581518031</v>
      </c>
      <c r="S17" s="36">
        <f>(0.5*C2*(D6-F6)^2/D6)+(0.5*E2*(D6-F6))+(0.5*G2*(H6-F6))+(0.5*I2*(H6-F6)^2/(H6-J6))</f>
        <v>1077.9230769230769</v>
      </c>
      <c r="T17" s="1"/>
    </row>
    <row r="18" spans="2:23" x14ac:dyDescent="0.2">
      <c r="B18" s="6"/>
      <c r="C18" s="1"/>
      <c r="D18" s="1">
        <f>D15-H15</f>
        <v>8</v>
      </c>
      <c r="E18" s="1"/>
      <c r="F18" s="1"/>
      <c r="G18" s="1"/>
      <c r="H18" s="1">
        <v>0</v>
      </c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>
        <f>SQRT((C2*(D6-H6)/D6)^2+(D6-H6)^2)</f>
        <v>15.230285617807699</v>
      </c>
      <c r="D20" s="2"/>
      <c r="E20" s="2">
        <f>SQRT((E2*(D6-H6)/(D6-F6))^2+(D6-H6)^2)</f>
        <v>129.84667881775027</v>
      </c>
      <c r="F20" s="2"/>
      <c r="G20" s="2"/>
      <c r="H20" s="2"/>
      <c r="I20" s="2"/>
      <c r="J20" s="2"/>
      <c r="K20" s="2"/>
      <c r="L20" s="2"/>
      <c r="M20" s="2"/>
      <c r="N20" s="14"/>
      <c r="Q20" s="13">
        <f>Q17-H6</f>
        <v>-93</v>
      </c>
      <c r="R20" s="12">
        <f>SUM(B20:N20)</f>
        <v>145.07696443555798</v>
      </c>
      <c r="S20" s="36">
        <f>(0.5*C2*(D6-H6))+(0.5*G2*(D6-H6)/(D6-F6))</f>
        <v>388.8</v>
      </c>
      <c r="T20" s="1"/>
    </row>
    <row r="21" spans="2:23" ht="16" thickBot="1" x14ac:dyDescent="0.25">
      <c r="B21" s="6"/>
      <c r="C21" s="1"/>
      <c r="D21" s="1">
        <v>0</v>
      </c>
      <c r="E21" s="1"/>
      <c r="F21" s="1"/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51</v>
      </c>
      <c r="W22" s="10">
        <f>S8</f>
        <v>28066.5</v>
      </c>
    </row>
    <row r="23" spans="2:23" ht="16" thickBot="1" x14ac:dyDescent="0.25">
      <c r="B23" s="7"/>
      <c r="C23" s="26">
        <v>0</v>
      </c>
      <c r="D23" s="26"/>
      <c r="E23" s="26">
        <v>0</v>
      </c>
      <c r="F23" s="26"/>
      <c r="G23" s="26"/>
      <c r="H23" s="26"/>
      <c r="I23" s="26"/>
      <c r="J23" s="26"/>
      <c r="K23" s="26"/>
      <c r="L23" s="26"/>
      <c r="M23" s="26"/>
      <c r="N23" s="8"/>
      <c r="Q23" s="11">
        <f>Q20-D6</f>
        <v>-143</v>
      </c>
      <c r="R23" s="7">
        <f>SUM(B23:N23)</f>
        <v>0</v>
      </c>
      <c r="S23" s="37">
        <v>0</v>
      </c>
      <c r="T23" s="1"/>
      <c r="V23" s="6">
        <f>Q11</f>
        <v>22</v>
      </c>
      <c r="W23" s="10">
        <f>S11</f>
        <v>15949.71</v>
      </c>
    </row>
    <row r="24" spans="2:23" x14ac:dyDescent="0.2">
      <c r="V24" s="6">
        <f>Q14</f>
        <v>-11</v>
      </c>
      <c r="W24" s="10">
        <f>S14</f>
        <v>5049.4242857142854</v>
      </c>
    </row>
    <row r="25" spans="2:23" x14ac:dyDescent="0.2">
      <c r="V25" s="6">
        <f>Q17</f>
        <v>-51</v>
      </c>
      <c r="W25" s="10">
        <f>S17</f>
        <v>1077.9230769230769</v>
      </c>
    </row>
    <row r="26" spans="2:23" x14ac:dyDescent="0.2">
      <c r="V26" s="6">
        <f>Q20</f>
        <v>-93</v>
      </c>
      <c r="W26" s="10">
        <f>S20</f>
        <v>388.8</v>
      </c>
    </row>
    <row r="27" spans="2:23" ht="16" thickBot="1" x14ac:dyDescent="0.25">
      <c r="V27" s="7">
        <f>Q23</f>
        <v>-143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E45D-05BE-3845-A3A5-02A86F7A2CBF}">
  <dimension ref="A1:W27"/>
  <sheetViews>
    <sheetView topLeftCell="W2" workbookViewId="0">
      <selection activeCell="AL25" sqref="AL25"/>
    </sheetView>
  </sheetViews>
  <sheetFormatPr baseColWidth="10" defaultRowHeight="15" x14ac:dyDescent="0.2"/>
  <cols>
    <col min="2" max="2" width="16.5" customWidth="1"/>
    <col min="16" max="16" width="13.33203125" customWidth="1"/>
    <col min="17" max="17" width="19.33203125" customWidth="1"/>
    <col min="18" max="18" width="20.1640625" customWidth="1"/>
    <col min="19" max="19" width="21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78.5</v>
      </c>
      <c r="D2" s="26"/>
      <c r="E2" s="26">
        <v>157</v>
      </c>
      <c r="F2" s="26"/>
      <c r="G2" s="26">
        <v>157</v>
      </c>
      <c r="H2" s="26"/>
      <c r="I2" s="26">
        <v>157</v>
      </c>
      <c r="J2" s="26"/>
      <c r="K2" s="26">
        <v>157</v>
      </c>
      <c r="L2" s="26"/>
      <c r="M2" s="8">
        <v>78.5</v>
      </c>
      <c r="O2" s="42">
        <v>31</v>
      </c>
      <c r="P2" s="43">
        <v>63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6+O2</f>
        <v>37</v>
      </c>
      <c r="E6" s="1"/>
      <c r="F6" s="1">
        <f>51+O2</f>
        <v>82</v>
      </c>
      <c r="G6" s="1"/>
      <c r="H6" s="1">
        <f>78+O2</f>
        <v>109</v>
      </c>
      <c r="I6" s="1"/>
      <c r="J6" s="1">
        <f>61+O2</f>
        <v>92</v>
      </c>
      <c r="K6" s="1"/>
      <c r="L6" s="1">
        <f>19+O2</f>
        <v>50</v>
      </c>
      <c r="M6" s="1"/>
      <c r="N6" s="5">
        <v>0</v>
      </c>
      <c r="Q6" s="10"/>
      <c r="R6" s="4"/>
      <c r="S6" s="35"/>
      <c r="T6" s="1"/>
      <c r="V6" s="6">
        <f>Q8</f>
        <v>94</v>
      </c>
      <c r="W6" s="10">
        <f>R8</f>
        <v>822.9189597865502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57</v>
      </c>
      <c r="W7" s="10">
        <f>R11</f>
        <v>663.24646123494654</v>
      </c>
    </row>
    <row r="8" spans="1:23" x14ac:dyDescent="0.2">
      <c r="B8" s="12"/>
      <c r="C8" s="2">
        <f>SQRT(C2^2+D6^2)</f>
        <v>86.782774788548906</v>
      </c>
      <c r="D8" s="2"/>
      <c r="E8" s="2">
        <f>SQRT(E2^2+(F6-D6)^2)</f>
        <v>163.32176829804411</v>
      </c>
      <c r="F8" s="2"/>
      <c r="G8" s="2">
        <f>SQRT(G2^2+(H6-F6)^2)</f>
        <v>159.3047394147456</v>
      </c>
      <c r="H8" s="2"/>
      <c r="I8" s="2">
        <f>SQRT(I2^2+(H6-J6)^2)</f>
        <v>157.91770008456936</v>
      </c>
      <c r="J8" s="2"/>
      <c r="K8" s="2">
        <f>SQRT(K2^2+(J6-L6)^2)</f>
        <v>162.5207679036744</v>
      </c>
      <c r="L8" s="2"/>
      <c r="M8" s="2">
        <f>SQRT(M2^2+L6^2)</f>
        <v>93.071209296967879</v>
      </c>
      <c r="N8" s="14"/>
      <c r="Q8" s="13">
        <f>O2+P2</f>
        <v>94</v>
      </c>
      <c r="R8" s="12">
        <f>SUM(B8:N8)</f>
        <v>822.9189597865502</v>
      </c>
      <c r="S8" s="36">
        <f>(0.5*C2*D6)+(E2*D6+0.5*E2*(F6-D6))+(G2*F6+0.5*G2*(H6-F6))+(I2*J6+0.5*I2*(H6-J6))+(K2*L6+0.5*K2*(J6-L6))+(0.5*M2*L6)</f>
        <v>54675.25</v>
      </c>
      <c r="T8" s="1"/>
      <c r="V8" s="6">
        <f>Q14</f>
        <v>44</v>
      </c>
      <c r="W8" s="10">
        <f>R14</f>
        <v>595.88313152604292</v>
      </c>
    </row>
    <row r="9" spans="1:23" x14ac:dyDescent="0.2">
      <c r="B9" s="6"/>
      <c r="C9" s="1"/>
      <c r="D9" s="1">
        <v>0</v>
      </c>
      <c r="E9" s="1"/>
      <c r="F9" s="1">
        <f>F6-D6</f>
        <v>45</v>
      </c>
      <c r="G9" s="1"/>
      <c r="H9" s="1">
        <f>H6-D6</f>
        <v>72</v>
      </c>
      <c r="I9" s="1"/>
      <c r="J9" s="1">
        <f>J6-D6</f>
        <v>55</v>
      </c>
      <c r="K9" s="1"/>
      <c r="L9" s="1">
        <f>L6-D6</f>
        <v>13</v>
      </c>
      <c r="M9" s="1"/>
      <c r="N9" s="5"/>
      <c r="Q9" s="10"/>
      <c r="R9" s="6"/>
      <c r="S9" s="35"/>
      <c r="T9" s="1"/>
      <c r="V9" s="6">
        <f>Q17</f>
        <v>12</v>
      </c>
      <c r="W9" s="10">
        <f>R17</f>
        <v>355.91786042876129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2</v>
      </c>
      <c r="W10" s="10">
        <f>R20</f>
        <v>194.63858121837805</v>
      </c>
    </row>
    <row r="11" spans="1:23" ht="16" thickBot="1" x14ac:dyDescent="0.25">
      <c r="B11" s="12"/>
      <c r="C11" s="2"/>
      <c r="D11" s="38"/>
      <c r="E11" s="39">
        <f>SQRT(G2^2+(H6-F6)^2)</f>
        <v>159.3047394147456</v>
      </c>
      <c r="F11" s="38"/>
      <c r="G11" s="2">
        <f>SQRT(E2^2+(H6-F6)^2)</f>
        <v>159.3047394147456</v>
      </c>
      <c r="H11" s="2"/>
      <c r="I11" s="2">
        <f>SQRT(I2^2+(H6-J6)^2)</f>
        <v>157.91770008456936</v>
      </c>
      <c r="J11" s="2"/>
      <c r="K11" s="2">
        <f>SQRT(K2^2+(J6-L6)^2)</f>
        <v>162.5207679036744</v>
      </c>
      <c r="L11" s="19"/>
      <c r="M11" s="2">
        <f>SQRT((M2*(L6-D6)/L6)^2+(L6-D6)^2)</f>
        <v>24.198514417211648</v>
      </c>
      <c r="N11" s="14"/>
      <c r="Q11" s="13">
        <f>Q8-D6</f>
        <v>57</v>
      </c>
      <c r="R11" s="12">
        <f>SUM(B11:N11)</f>
        <v>663.24646123494654</v>
      </c>
      <c r="S11" s="36">
        <f>(0.5*E2*(F6-D6))+(G2*(H6-D6)+0.5*G2*(H6-F6))+(I2*(J6-D6)+0.5*I2*(H6-J6))+(K2*(L6-D6)+0.5*K2*(J6-L6))+(0.5*M2*(L6-D6)^2/L6)</f>
        <v>32396.165000000001</v>
      </c>
      <c r="T11" s="1"/>
      <c r="V11" s="7">
        <f>Q23</f>
        <v>-15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f>F9-L9</f>
        <v>32</v>
      </c>
      <c r="G12" s="1"/>
      <c r="H12" s="1">
        <f>H9-L9</f>
        <v>59</v>
      </c>
      <c r="I12" s="1"/>
      <c r="J12" s="1">
        <f>J9-L9</f>
        <v>42</v>
      </c>
      <c r="K12" s="1"/>
      <c r="L12" s="1">
        <v>0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>
        <f>SQRT((E2*(F6-L6)/(F6-D6))^2+(F6-L6)^2)</f>
        <v>116.13992412305358</v>
      </c>
      <c r="F14" s="39"/>
      <c r="G14" s="38">
        <f>SQRT(G2^2+(H6-F6)^2)</f>
        <v>159.3047394147456</v>
      </c>
      <c r="H14" s="2"/>
      <c r="I14" s="2">
        <f>SQRT(I2^2+(H6-J6)^2)</f>
        <v>157.91770008456936</v>
      </c>
      <c r="J14" s="2"/>
      <c r="K14" s="2">
        <f>SQRT(K2^2+(J6-L6)^2)</f>
        <v>162.5207679036744</v>
      </c>
      <c r="L14" s="2"/>
      <c r="M14" s="2"/>
      <c r="N14" s="14"/>
      <c r="Q14" s="13">
        <f>Q11-L9</f>
        <v>44</v>
      </c>
      <c r="R14" s="12">
        <f>SUM(B14:N14)</f>
        <v>595.88313152604292</v>
      </c>
      <c r="S14" s="36">
        <f>(0.5*E2*(F6-L6)^2/(F6-D6))+(G2*(F6-L6)+0.5*G2*(H6-F6))+(I2*(J6-L6)+0.5*I2*(H6-J6))+(0.5*K2*(J6-L6))</f>
        <v>20155.31111111111</v>
      </c>
      <c r="T14" s="1"/>
    </row>
    <row r="15" spans="1:23" x14ac:dyDescent="0.2">
      <c r="B15" s="6"/>
      <c r="C15" s="1"/>
      <c r="D15" s="1"/>
      <c r="E15" s="1"/>
      <c r="F15" s="1">
        <v>0</v>
      </c>
      <c r="G15" s="1"/>
      <c r="H15" s="1">
        <f>H12-F12</f>
        <v>27</v>
      </c>
      <c r="I15" s="1"/>
      <c r="J15" s="1">
        <f>J12-F12</f>
        <v>10</v>
      </c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/>
      <c r="F17" s="2"/>
      <c r="G17" s="2">
        <f>SQRT(G2^2+(H6-F6)^2)</f>
        <v>159.3047394147456</v>
      </c>
      <c r="H17" s="2"/>
      <c r="I17" s="2">
        <f>SQRT(I2^2+(H6-J6)^2)</f>
        <v>157.91770008456936</v>
      </c>
      <c r="J17" s="2"/>
      <c r="K17" s="2">
        <f>SQRT((K2*(J6-F6)/(J6-L6))^2+(J6-F6)^2)</f>
        <v>38.695420929446286</v>
      </c>
      <c r="L17" s="2"/>
      <c r="M17" s="2"/>
      <c r="N17" s="14"/>
      <c r="Q17" s="13">
        <f>Q14-F12</f>
        <v>12</v>
      </c>
      <c r="R17" s="12">
        <f>SUM(B17:N17)</f>
        <v>355.91786042876129</v>
      </c>
      <c r="S17" s="36">
        <f>(0.5*G2*(H6-F6))+(I2*(J6-F6)+0.5*I2*(H6-J6))+(0.5*K2*(J6-F6)^2/(J6-L6))</f>
        <v>5210.9047619047615</v>
      </c>
      <c r="T17" s="1"/>
    </row>
    <row r="18" spans="2:23" x14ac:dyDescent="0.2">
      <c r="B18" s="6"/>
      <c r="C18" s="1"/>
      <c r="D18" s="1"/>
      <c r="E18" s="1"/>
      <c r="F18" s="1"/>
      <c r="G18" s="1"/>
      <c r="H18" s="1">
        <f>H15-J15</f>
        <v>17</v>
      </c>
      <c r="I18" s="1"/>
      <c r="J18" s="1">
        <v>0</v>
      </c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/>
      <c r="F20" s="2"/>
      <c r="G20" s="2">
        <f>SQRT((G2*(H6-J6)/F6)^2+(H6-J6)^2)</f>
        <v>36.720881133808696</v>
      </c>
      <c r="H20" s="2"/>
      <c r="I20" s="2">
        <f>SQRT(I2^2+(H6-J6)^2)</f>
        <v>157.91770008456936</v>
      </c>
      <c r="J20" s="2"/>
      <c r="K20" s="2"/>
      <c r="L20" s="2"/>
      <c r="M20" s="2"/>
      <c r="N20" s="14"/>
      <c r="Q20" s="13">
        <f>Q17-J15</f>
        <v>2</v>
      </c>
      <c r="R20" s="12">
        <f>SUM(B20:N20)</f>
        <v>194.63858121837805</v>
      </c>
      <c r="S20" s="36">
        <f>(0.5*G2*(H6-J6)^2/F6)+(0.5*I2*(H6-J6))</f>
        <v>1611.1646341463415</v>
      </c>
      <c r="T20" s="1"/>
    </row>
    <row r="21" spans="2:23" ht="16" thickBot="1" x14ac:dyDescent="0.25">
      <c r="B21" s="6"/>
      <c r="C21" s="1"/>
      <c r="D21" s="1"/>
      <c r="E21" s="1"/>
      <c r="F21" s="1"/>
      <c r="G21" s="1"/>
      <c r="H21" s="1">
        <v>0</v>
      </c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94</v>
      </c>
      <c r="W22" s="10">
        <f>S8</f>
        <v>54675.25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Q20-H18</f>
        <v>-15</v>
      </c>
      <c r="R23" s="7">
        <f>SUM(B23:N23)</f>
        <v>0</v>
      </c>
      <c r="S23" s="37"/>
      <c r="T23" s="1"/>
      <c r="V23" s="6">
        <f>Q11</f>
        <v>57</v>
      </c>
      <c r="W23" s="10">
        <f>S11</f>
        <v>32396.165000000001</v>
      </c>
    </row>
    <row r="24" spans="2:23" x14ac:dyDescent="0.2">
      <c r="V24" s="6">
        <f>Q14</f>
        <v>44</v>
      </c>
      <c r="W24" s="10">
        <f>S14</f>
        <v>20155.31111111111</v>
      </c>
    </row>
    <row r="25" spans="2:23" x14ac:dyDescent="0.2">
      <c r="V25" s="6">
        <f>Q17</f>
        <v>12</v>
      </c>
      <c r="W25" s="10">
        <f>S17</f>
        <v>5210.9047619047615</v>
      </c>
    </row>
    <row r="26" spans="2:23" x14ac:dyDescent="0.2">
      <c r="V26" s="6">
        <f>Q20</f>
        <v>2</v>
      </c>
      <c r="W26" s="10">
        <f>S20</f>
        <v>1611.1646341463415</v>
      </c>
    </row>
    <row r="27" spans="2:23" ht="16" thickBot="1" x14ac:dyDescent="0.25">
      <c r="V27" s="7">
        <f>Q23</f>
        <v>-15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9A9C-44E3-2A4C-B824-F3243EA91282}">
  <dimension ref="A1:W27"/>
  <sheetViews>
    <sheetView topLeftCell="R1" workbookViewId="0">
      <selection activeCell="W35" sqref="W35"/>
    </sheetView>
  </sheetViews>
  <sheetFormatPr baseColWidth="10" defaultRowHeight="15" x14ac:dyDescent="0.2"/>
  <cols>
    <col min="2" max="2" width="12.1640625" customWidth="1"/>
    <col min="17" max="17" width="15.83203125" customWidth="1"/>
    <col min="18" max="18" width="19" customWidth="1"/>
    <col min="19" max="19" width="19.6640625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80</v>
      </c>
      <c r="D2" s="26"/>
      <c r="E2" s="26">
        <v>160</v>
      </c>
      <c r="F2" s="26"/>
      <c r="G2" s="26">
        <v>160</v>
      </c>
      <c r="H2" s="26"/>
      <c r="I2" s="26">
        <v>160</v>
      </c>
      <c r="J2" s="26"/>
      <c r="K2" s="26">
        <v>160</v>
      </c>
      <c r="L2" s="26"/>
      <c r="M2" s="8">
        <v>80</v>
      </c>
      <c r="O2" s="42">
        <v>63</v>
      </c>
      <c r="P2" s="43">
        <v>55.5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1+O2</f>
        <v>64</v>
      </c>
      <c r="E6" s="1"/>
      <c r="F6" s="1">
        <f>27+O2</f>
        <v>90</v>
      </c>
      <c r="G6" s="1"/>
      <c r="H6" s="1">
        <f>28+O2</f>
        <v>91</v>
      </c>
      <c r="I6" s="1"/>
      <c r="J6" s="1">
        <f>68+O2</f>
        <v>131</v>
      </c>
      <c r="K6" s="1"/>
      <c r="L6" s="1">
        <f>52+O2</f>
        <v>115</v>
      </c>
      <c r="M6" s="1"/>
      <c r="N6" s="5">
        <v>0</v>
      </c>
      <c r="Q6" s="10"/>
      <c r="R6" s="4"/>
      <c r="S6" s="35"/>
      <c r="T6" s="1"/>
      <c r="V6" s="6">
        <f>Q8</f>
        <v>118.5</v>
      </c>
      <c r="W6" s="10">
        <f>R8</f>
        <v>890.36334033588525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54.5</v>
      </c>
      <c r="W7" s="10">
        <f>R11</f>
        <v>709.95063545245534</v>
      </c>
    </row>
    <row r="8" spans="1:23" x14ac:dyDescent="0.2">
      <c r="B8" s="12"/>
      <c r="C8" s="2">
        <f>SQRT(C2^2+D6^2)</f>
        <v>102.44998779892558</v>
      </c>
      <c r="D8" s="2"/>
      <c r="E8" s="2">
        <f>SQRT(E2^2+(F6-D6)^2)</f>
        <v>162.09873534361705</v>
      </c>
      <c r="F8" s="2"/>
      <c r="G8" s="2">
        <f>SQRT(G2^2+(H6-F6)^2)</f>
        <v>160.00312496948303</v>
      </c>
      <c r="H8" s="2"/>
      <c r="I8" s="2">
        <f>SQRT(I2^2+(J6-H6)^2)</f>
        <v>164.92422502470643</v>
      </c>
      <c r="J8" s="2"/>
      <c r="K8" s="2">
        <f>SQRT(K2^2+(J6-L6)^2)</f>
        <v>160.79800993793424</v>
      </c>
      <c r="L8" s="2"/>
      <c r="M8" s="2">
        <f>SQRT(M2^2+L6^2)</f>
        <v>140.08925726121899</v>
      </c>
      <c r="N8" s="14"/>
      <c r="Q8" s="13">
        <f>O2+P2</f>
        <v>118.5</v>
      </c>
      <c r="R8" s="12">
        <f>SUM(B8:N8)</f>
        <v>890.36334033588525</v>
      </c>
      <c r="S8" s="36">
        <f>(0.5*C2*D6)+(E2*D6+0.5*E2*(F6-D6))+(G2*F6+0.5*G2*(H6-F6))+(I2*H6+0.5*I2*(J6-H6))+(K2*L6+0.5*K2*(J6-L6))+(0.5*M2*L6)</f>
        <v>71400</v>
      </c>
      <c r="T8" s="1"/>
      <c r="V8" s="6">
        <f>Q14</f>
        <v>28.5</v>
      </c>
      <c r="W8" s="10">
        <f>R14</f>
        <v>516.17954629325823</v>
      </c>
    </row>
    <row r="9" spans="1:23" x14ac:dyDescent="0.2">
      <c r="B9" s="6"/>
      <c r="C9" s="1"/>
      <c r="D9" s="1">
        <v>0</v>
      </c>
      <c r="E9" s="1"/>
      <c r="F9" s="1">
        <f>F6-D6</f>
        <v>26</v>
      </c>
      <c r="G9" s="1"/>
      <c r="H9" s="1">
        <f>H6-D6</f>
        <v>27</v>
      </c>
      <c r="I9" s="1"/>
      <c r="J9" s="1">
        <f>J6-D6</f>
        <v>67</v>
      </c>
      <c r="K9" s="1"/>
      <c r="L9" s="1">
        <f>L6-D6</f>
        <v>51</v>
      </c>
      <c r="M9" s="1"/>
      <c r="N9" s="5"/>
      <c r="Q9" s="10"/>
      <c r="R9" s="6"/>
      <c r="S9" s="35"/>
      <c r="T9" s="1"/>
      <c r="V9" s="6">
        <f>Q17</f>
        <v>27.5</v>
      </c>
      <c r="W9" s="10">
        <f>R17</f>
        <v>354.95825386932984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3.5</v>
      </c>
      <c r="W10" s="10">
        <f>R20</f>
        <v>226.76769994781682</v>
      </c>
    </row>
    <row r="11" spans="1:23" ht="16" thickBot="1" x14ac:dyDescent="0.25">
      <c r="B11" s="12"/>
      <c r="C11" s="2"/>
      <c r="D11" s="38"/>
      <c r="E11" s="39">
        <f>SQRT(E2^2+(F6-D6)^2)</f>
        <v>162.09873534361705</v>
      </c>
      <c r="F11" s="38"/>
      <c r="G11" s="2">
        <f>SQRT(G2^2+(H6-F6)^2)</f>
        <v>160.00312496948303</v>
      </c>
      <c r="H11" s="2"/>
      <c r="I11" s="2">
        <f>SQRT(I2^2+(J6-H6)^2)</f>
        <v>164.92422502470643</v>
      </c>
      <c r="J11" s="2"/>
      <c r="K11" s="2">
        <f>SQRT(K2^2+(J6-L6)^2)</f>
        <v>160.79800993793424</v>
      </c>
      <c r="L11" s="19"/>
      <c r="M11" s="2">
        <f>SQRT((M2*(L6-D6)/L6)^2+(L6-D6)^2)</f>
        <v>62.126540176714514</v>
      </c>
      <c r="N11" s="14"/>
      <c r="Q11" s="13">
        <f>Q8-D6</f>
        <v>54.5</v>
      </c>
      <c r="R11" s="12">
        <f>SUM(B11:N11)</f>
        <v>709.95063545245534</v>
      </c>
      <c r="S11" s="36">
        <f>(0.5*E2*(F6-D6))+(0.5*G2*(H6-F6)+G2*(F6-D6))+(I2*(H6-D6)+0.5*I2*(J6-H6))+(K2*(L6-D6)+0.5*K2*(J6-L6))+(0.5*M2*(L6-D6)^2/L6)</f>
        <v>24184.695652173912</v>
      </c>
      <c r="T11" s="1"/>
      <c r="V11" s="7">
        <f>Q23</f>
        <v>-12.5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v>0</v>
      </c>
      <c r="G12" s="1"/>
      <c r="H12" s="1">
        <f>H9-F9</f>
        <v>1</v>
      </c>
      <c r="I12" s="1"/>
      <c r="J12" s="1">
        <f>J9-F9</f>
        <v>41</v>
      </c>
      <c r="K12" s="1"/>
      <c r="L12" s="1">
        <f>L9-F9</f>
        <v>25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/>
      <c r="F14" s="39"/>
      <c r="G14" s="38">
        <f>SQRT(G2^2+(H6-F6)^2)</f>
        <v>160.00312496948303</v>
      </c>
      <c r="H14" s="2"/>
      <c r="I14" s="2">
        <f>SQRT(I2^2+(J6-H6)^2)</f>
        <v>164.92422502470643</v>
      </c>
      <c r="J14" s="2"/>
      <c r="K14" s="2">
        <f>SQRT(K2^2+(J6-L6)^2)</f>
        <v>160.79800993793424</v>
      </c>
      <c r="L14" s="2"/>
      <c r="M14" s="2">
        <f>SQRT((M2*(L6-F6)/L6)^2+(L6-F6)^2)</f>
        <v>30.454186361134564</v>
      </c>
      <c r="N14" s="14"/>
      <c r="Q14" s="13">
        <f>Q11-F9</f>
        <v>28.5</v>
      </c>
      <c r="R14" s="12">
        <f>SUM(B14:N14)</f>
        <v>516.17954629325823</v>
      </c>
      <c r="S14" s="36">
        <f>(0.5*G2*(H6-F6))+(I2*(H6-F6)+0.5*I2*(J6-H6))+(K2*(L6-F6)+0.5*K2*(J6-L6))+(0.5*M2*(L6-F6)^2/L6)</f>
        <v>8937.391304347826</v>
      </c>
      <c r="T14" s="1"/>
    </row>
    <row r="15" spans="1:23" x14ac:dyDescent="0.2">
      <c r="B15" s="6"/>
      <c r="C15" s="1"/>
      <c r="D15" s="1"/>
      <c r="E15" s="1"/>
      <c r="F15" s="1"/>
      <c r="G15" s="1"/>
      <c r="H15" s="1">
        <v>0</v>
      </c>
      <c r="I15" s="1"/>
      <c r="J15" s="1">
        <f>J12-H12</f>
        <v>40</v>
      </c>
      <c r="K15" s="1"/>
      <c r="L15" s="1">
        <f>L12-H12</f>
        <v>24</v>
      </c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/>
      <c r="F17" s="2"/>
      <c r="G17" s="2"/>
      <c r="H17" s="2"/>
      <c r="I17" s="2">
        <f>SQRT(I2^2+(J6-H6)^2)</f>
        <v>164.92422502470643</v>
      </c>
      <c r="J17" s="2"/>
      <c r="K17" s="2">
        <f>SQRT(K2^2+(J6-L6)^2)</f>
        <v>160.79800993793424</v>
      </c>
      <c r="L17" s="2"/>
      <c r="M17" s="2">
        <f>SQRT((M2*(L6-H6)/L6)^2+(L6-H6)^2)</f>
        <v>29.236018906689182</v>
      </c>
      <c r="N17" s="14"/>
      <c r="Q17" s="13">
        <f>Q14-H12</f>
        <v>27.5</v>
      </c>
      <c r="R17" s="12">
        <f>SUM(B17:N17)</f>
        <v>354.95825386932984</v>
      </c>
      <c r="S17" s="36">
        <f>(0.5*I2*(J6-H6))+(0.5*K2*(J6-L6)+K2*(L6-H6))+(0.5*M2*(L6-H6)^2/L6)</f>
        <v>8520.347826086956</v>
      </c>
      <c r="T17" s="1"/>
    </row>
    <row r="18" spans="2:23" x14ac:dyDescent="0.2">
      <c r="B18" s="6"/>
      <c r="C18" s="1"/>
      <c r="D18" s="1"/>
      <c r="E18" s="1"/>
      <c r="F18" s="1"/>
      <c r="G18" s="1"/>
      <c r="H18" s="1"/>
      <c r="I18" s="1"/>
      <c r="J18" s="1">
        <f>J15-L15</f>
        <v>16</v>
      </c>
      <c r="K18" s="1"/>
      <c r="L18" s="1">
        <v>0</v>
      </c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/>
      <c r="F20" s="2"/>
      <c r="G20" s="2"/>
      <c r="H20" s="2"/>
      <c r="I20" s="2">
        <f>SQRT((I2*(J6-L6)/(J6-H6))^2+(J6-L6)^2)</f>
        <v>65.969690009882569</v>
      </c>
      <c r="J20" s="2"/>
      <c r="K20" s="2">
        <f>SQRT(K2^2+(J6-L6)^2)</f>
        <v>160.79800993793424</v>
      </c>
      <c r="L20" s="2"/>
      <c r="M20" s="2"/>
      <c r="N20" s="14"/>
      <c r="Q20" s="13">
        <f>Q17-L15</f>
        <v>3.5</v>
      </c>
      <c r="R20" s="12">
        <f>SUM(B20:N20)</f>
        <v>226.76769994781682</v>
      </c>
      <c r="S20" s="36">
        <f>(0.5*I2*(J6-L6)^2/(J6-H6))+(0.5*K2*(J6-L6))</f>
        <v>1792</v>
      </c>
      <c r="T20" s="1"/>
    </row>
    <row r="21" spans="2:23" ht="16" thickBot="1" x14ac:dyDescent="0.25">
      <c r="B21" s="6"/>
      <c r="C21" s="1"/>
      <c r="D21" s="1"/>
      <c r="E21" s="1"/>
      <c r="F21" s="1"/>
      <c r="G21" s="1"/>
      <c r="H21" s="1"/>
      <c r="I21" s="1"/>
      <c r="J21" s="1">
        <v>0</v>
      </c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118.5</v>
      </c>
      <c r="W22" s="10">
        <f>S8</f>
        <v>71400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Q20-J18</f>
        <v>-12.5</v>
      </c>
      <c r="R23" s="7">
        <f>SUM(B23:N23)</f>
        <v>0</v>
      </c>
      <c r="S23" s="37">
        <v>0</v>
      </c>
      <c r="T23" s="1"/>
      <c r="V23" s="6">
        <f>Q11</f>
        <v>54.5</v>
      </c>
      <c r="W23" s="10">
        <f>S11</f>
        <v>24184.695652173912</v>
      </c>
    </row>
    <row r="24" spans="2:23" x14ac:dyDescent="0.2">
      <c r="V24" s="6">
        <f>Q14</f>
        <v>28.5</v>
      </c>
      <c r="W24" s="10">
        <f>S14</f>
        <v>8937.391304347826</v>
      </c>
    </row>
    <row r="25" spans="2:23" x14ac:dyDescent="0.2">
      <c r="V25" s="6">
        <f>Q17</f>
        <v>27.5</v>
      </c>
      <c r="W25" s="10">
        <f>S17</f>
        <v>8520.347826086956</v>
      </c>
    </row>
    <row r="26" spans="2:23" x14ac:dyDescent="0.2">
      <c r="V26" s="6">
        <f>Q20</f>
        <v>3.5</v>
      </c>
      <c r="W26" s="10">
        <f>S20</f>
        <v>1792</v>
      </c>
    </row>
    <row r="27" spans="2:23" ht="16" thickBot="1" x14ac:dyDescent="0.25">
      <c r="V27" s="7">
        <f>Q23</f>
        <v>-12.5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2EFD-A4CC-D143-A48B-68493CD5C4D9}">
  <dimension ref="A1:W27"/>
  <sheetViews>
    <sheetView topLeftCell="U1" workbookViewId="0">
      <selection activeCell="AE27" sqref="AE27"/>
    </sheetView>
  </sheetViews>
  <sheetFormatPr baseColWidth="10" defaultRowHeight="15" x14ac:dyDescent="0.2"/>
  <cols>
    <col min="2" max="2" width="11.83203125" customWidth="1"/>
    <col min="17" max="17" width="15.33203125" customWidth="1"/>
    <col min="18" max="18" width="15.5" customWidth="1"/>
    <col min="19" max="19" width="17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52</v>
      </c>
      <c r="D2" s="26"/>
      <c r="E2" s="26">
        <v>104</v>
      </c>
      <c r="F2" s="26"/>
      <c r="G2" s="26">
        <v>104</v>
      </c>
      <c r="H2" s="26"/>
      <c r="I2" s="26">
        <v>104</v>
      </c>
      <c r="J2" s="26"/>
      <c r="K2" s="26">
        <v>104</v>
      </c>
      <c r="L2" s="26"/>
      <c r="M2" s="8">
        <v>52</v>
      </c>
      <c r="O2" s="42">
        <v>21</v>
      </c>
      <c r="P2" s="43">
        <v>11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-15+O2</f>
        <v>6</v>
      </c>
      <c r="E6" s="1"/>
      <c r="F6" s="1">
        <f>4.5+O2</f>
        <v>25.5</v>
      </c>
      <c r="G6" s="1"/>
      <c r="H6" s="1">
        <f>10+O2</f>
        <v>31</v>
      </c>
      <c r="I6" s="1"/>
      <c r="J6" s="1">
        <f>14+O2</f>
        <v>35</v>
      </c>
      <c r="K6" s="1"/>
      <c r="L6" s="1">
        <f>14.5+O2</f>
        <v>35.5</v>
      </c>
      <c r="M6" s="1"/>
      <c r="N6" s="5">
        <v>0</v>
      </c>
      <c r="Q6" s="10"/>
      <c r="R6" s="4"/>
      <c r="S6" s="35"/>
      <c r="T6" s="1"/>
      <c r="V6" s="6">
        <f>Q8</f>
        <v>32</v>
      </c>
      <c r="W6" s="10">
        <f>R8</f>
        <v>533.34306120382109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26</v>
      </c>
      <c r="W7" s="10">
        <f>R11</f>
        <v>470.35653803685074</v>
      </c>
    </row>
    <row r="8" spans="1:23" x14ac:dyDescent="0.2">
      <c r="B8" s="12"/>
      <c r="C8" s="2">
        <f>SQRT(D6^2+C2^2)</f>
        <v>52.345009313209601</v>
      </c>
      <c r="D8" s="2"/>
      <c r="E8" s="2">
        <f>SQRT(E2^2+(F6-D6)^2)</f>
        <v>105.81233387464809</v>
      </c>
      <c r="F8" s="2"/>
      <c r="G8" s="2">
        <f>SQRT(G2^2+(H6-F6)^2)</f>
        <v>104.1453311483525</v>
      </c>
      <c r="H8" s="2"/>
      <c r="I8" s="2">
        <f>SQRT(I2^2+(J6-H6)^2)</f>
        <v>104.0768946500615</v>
      </c>
      <c r="J8" s="2"/>
      <c r="K8" s="2">
        <f>SQRT(K2^2+(L6-J6)^2)</f>
        <v>104.00120191613172</v>
      </c>
      <c r="L8" s="2"/>
      <c r="M8" s="2">
        <f>SQRT(M2^2+L6^2)</f>
        <v>62.962290301417724</v>
      </c>
      <c r="N8" s="14"/>
      <c r="Q8" s="13">
        <f>O2+P2</f>
        <v>32</v>
      </c>
      <c r="R8" s="12">
        <f>SUM(B8:N8)</f>
        <v>533.34306120382109</v>
      </c>
      <c r="S8" s="36">
        <f>(0.5*C2*D6)+(E2*D6+0.5*E2*(F6-D6))+(G2*F6+0.5*G2*(H6-F6))+(I2*H6+0.5*I2*(J6-H6))+(K2*J6+0.5*K2*(L6-J6))+(0.5*M2*L6)</f>
        <v>12753</v>
      </c>
      <c r="T8" s="1"/>
      <c r="V8" s="6">
        <f>Q14</f>
        <v>6.5</v>
      </c>
      <c r="W8" s="10">
        <f>R14</f>
        <v>329.95928413748027</v>
      </c>
    </row>
    <row r="9" spans="1:23" x14ac:dyDescent="0.2">
      <c r="B9" s="6"/>
      <c r="C9" s="1"/>
      <c r="D9" s="1">
        <v>0</v>
      </c>
      <c r="E9" s="1"/>
      <c r="F9" s="1">
        <f>F6-D6</f>
        <v>19.5</v>
      </c>
      <c r="G9" s="1"/>
      <c r="H9" s="1">
        <f>H6-D6</f>
        <v>25</v>
      </c>
      <c r="I9" s="1"/>
      <c r="J9" s="1">
        <f>J6-D6</f>
        <v>29</v>
      </c>
      <c r="K9" s="1"/>
      <c r="L9" s="1">
        <f>L6-D6</f>
        <v>29.5</v>
      </c>
      <c r="M9" s="1"/>
      <c r="N9" s="5"/>
      <c r="Q9" s="10"/>
      <c r="R9" s="6"/>
      <c r="S9" s="35"/>
      <c r="T9" s="1"/>
      <c r="V9" s="6">
        <f>Q17</f>
        <v>1</v>
      </c>
      <c r="W9" s="10">
        <f>R17</f>
        <v>216.05923195651377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-3</v>
      </c>
      <c r="W10" s="10">
        <f>R20</f>
        <v>104.88799473727845</v>
      </c>
    </row>
    <row r="11" spans="1:23" ht="16" thickBot="1" x14ac:dyDescent="0.25">
      <c r="B11" s="12"/>
      <c r="C11" s="2"/>
      <c r="D11" s="38"/>
      <c r="E11" s="39">
        <f>SQRT(E2^2+(F6-D6)^2)</f>
        <v>105.81233387464809</v>
      </c>
      <c r="F11" s="38"/>
      <c r="G11" s="2">
        <f>SQRT(G2^2+(H6-F6)^2)</f>
        <v>104.1453311483525</v>
      </c>
      <c r="H11" s="2"/>
      <c r="I11" s="2">
        <f>SQRT(I2^2+(J6-H6)^2)</f>
        <v>104.0768946500615</v>
      </c>
      <c r="J11" s="2"/>
      <c r="K11" s="2">
        <f>SQRT(K2^2+(L6-J6)^2)</f>
        <v>104.00120191613172</v>
      </c>
      <c r="L11" s="19"/>
      <c r="M11" s="2">
        <f>SQRT((M2*(L6-D6)/L6)^2+(L6-D6)^2)</f>
        <v>52.320776447656975</v>
      </c>
      <c r="N11" s="14"/>
      <c r="Q11" s="13">
        <f>Q8-D6</f>
        <v>26</v>
      </c>
      <c r="R11" s="12">
        <f>SUM(B11:N11)</f>
        <v>470.35653803685074</v>
      </c>
      <c r="S11" s="36">
        <f>(0.5*E2*(F6-D6))+(G2*(F6-D6)+0.5*G2*(H6-F6))+(I2*(H6-D6)+0.5*I2*(J6-H6))+(K2*(J6-D6)+0.5*K2*(L6-J6))+(0.5*M2*(L6-D6)^2/L6)</f>
        <v>9815.3661971830988</v>
      </c>
      <c r="T11" s="1"/>
      <c r="V11" s="7">
        <f>Q23</f>
        <v>-3.5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v>0</v>
      </c>
      <c r="G12" s="1"/>
      <c r="H12" s="1">
        <f>H9-F9</f>
        <v>5.5</v>
      </c>
      <c r="I12" s="1"/>
      <c r="J12" s="1">
        <f>J9-F9</f>
        <v>9.5</v>
      </c>
      <c r="K12" s="1"/>
      <c r="L12" s="1">
        <f>L9-F9</f>
        <v>10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/>
      <c r="F14" s="39"/>
      <c r="G14" s="38">
        <f>SQRT(G2^2+(H6-F6)^2)</f>
        <v>104.1453311483525</v>
      </c>
      <c r="H14" s="2"/>
      <c r="I14" s="2">
        <f>SQRT(I2^2+(J6-H6)^2)</f>
        <v>104.0768946500615</v>
      </c>
      <c r="J14" s="2"/>
      <c r="K14" s="2">
        <f>SQRT(K2^2+(L6-J6)^2)</f>
        <v>104.00120191613172</v>
      </c>
      <c r="L14" s="2"/>
      <c r="M14" s="2">
        <f>SQRT((M2*(L6-F6)/L6)^2+(L6-F6)^2)</f>
        <v>17.735856422934567</v>
      </c>
      <c r="N14" s="14"/>
      <c r="Q14" s="13">
        <f>Q11-F9</f>
        <v>6.5</v>
      </c>
      <c r="R14" s="12">
        <f>SUM(B14:N14)</f>
        <v>329.95928413748027</v>
      </c>
      <c r="S14" s="36">
        <f>(0.5*G2*(H6-F6))+(I2*(H6-F6)+0.5*I2*(J6-H6))+(K2*(J6-F6)+0.5*K2*(L6-J6))+(0.5*M2*(L6-F6)^2/L6)</f>
        <v>2153.2394366197182</v>
      </c>
      <c r="T14" s="1"/>
    </row>
    <row r="15" spans="1:23" x14ac:dyDescent="0.2">
      <c r="B15" s="6"/>
      <c r="C15" s="1"/>
      <c r="D15" s="1"/>
      <c r="E15" s="1"/>
      <c r="F15" s="1"/>
      <c r="G15" s="1"/>
      <c r="H15" s="1">
        <v>0</v>
      </c>
      <c r="I15" s="1"/>
      <c r="J15" s="1">
        <f>J12-H12</f>
        <v>4</v>
      </c>
      <c r="K15" s="1"/>
      <c r="L15" s="1">
        <f>L12-H12</f>
        <v>4.5</v>
      </c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/>
      <c r="F17" s="2"/>
      <c r="G17" s="2"/>
      <c r="H17" s="2"/>
      <c r="I17" s="2">
        <f>+SQRT(I2^2+(J6-H6)^2)</f>
        <v>104.0768946500615</v>
      </c>
      <c r="J17" s="2"/>
      <c r="K17" s="2">
        <f>SQRT(K2^2+(L6-J6)^2)</f>
        <v>104.00120191613172</v>
      </c>
      <c r="L17" s="2"/>
      <c r="M17" s="2">
        <f>SQRT((M2*(L6-H6)/L6)^2+(L6-H6)^2)</f>
        <v>7.9811353903205564</v>
      </c>
      <c r="N17" s="14"/>
      <c r="Q17" s="13">
        <f>Q14-H12</f>
        <v>1</v>
      </c>
      <c r="R17" s="12">
        <f>SUM(B17:N17)</f>
        <v>216.05923195651377</v>
      </c>
      <c r="S17" s="36">
        <f>(0.5*I2*(J6-H6))+(0.5*K2*(L6-J6)+K2*(J6-H6))+(0.5*M2*(L6-H6)^2/L6)</f>
        <v>664.83098591549299</v>
      </c>
      <c r="T17" s="1"/>
    </row>
    <row r="18" spans="2:23" x14ac:dyDescent="0.2">
      <c r="B18" s="6"/>
      <c r="C18" s="1"/>
      <c r="D18" s="1"/>
      <c r="E18" s="1"/>
      <c r="F18" s="1"/>
      <c r="G18" s="1"/>
      <c r="H18" s="1"/>
      <c r="I18" s="1"/>
      <c r="J18" s="1">
        <v>0</v>
      </c>
      <c r="K18" s="1"/>
      <c r="L18" s="1">
        <f>L15-J15</f>
        <v>0.5</v>
      </c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/>
      <c r="F20" s="2"/>
      <c r="G20" s="2"/>
      <c r="H20" s="2"/>
      <c r="I20" s="2"/>
      <c r="J20" s="2"/>
      <c r="K20" s="2">
        <f>SQRT(K2^2+(L6-J6)^2)</f>
        <v>104.00120191613172</v>
      </c>
      <c r="L20" s="2"/>
      <c r="M20" s="2">
        <f>SQRT((M2*(L6-J6)/L6)^2+(L6-J6)^2)</f>
        <v>0.88679282114672853</v>
      </c>
      <c r="N20" s="14"/>
      <c r="Q20" s="13">
        <f>Q17-J15</f>
        <v>-3</v>
      </c>
      <c r="R20" s="12">
        <f>SUM(B20:N20)</f>
        <v>104.88799473727845</v>
      </c>
      <c r="S20" s="36">
        <f>(0.5*K2*(L6-J6))+(0.5*M2*(L6-J6)^2/L6)</f>
        <v>26.183098591549296</v>
      </c>
      <c r="T20" s="1"/>
    </row>
    <row r="21" spans="2:23" ht="16" thickBot="1" x14ac:dyDescent="0.25">
      <c r="B21" s="6"/>
      <c r="C21" s="1"/>
      <c r="D21" s="1"/>
      <c r="E21" s="1"/>
      <c r="F21" s="1"/>
      <c r="G21" s="1"/>
      <c r="H21" s="1"/>
      <c r="I21" s="1"/>
      <c r="J21" s="1"/>
      <c r="K21" s="1"/>
      <c r="L21" s="1">
        <v>0</v>
      </c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32</v>
      </c>
      <c r="W22" s="10">
        <f>S8</f>
        <v>12753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Q20-L18</f>
        <v>-3.5</v>
      </c>
      <c r="R23" s="7">
        <f>SUM(B23:N23)</f>
        <v>0</v>
      </c>
      <c r="S23" s="37">
        <v>0</v>
      </c>
      <c r="T23" s="1"/>
      <c r="V23" s="6">
        <f>Q11</f>
        <v>26</v>
      </c>
      <c r="W23" s="10">
        <f>S11</f>
        <v>9815.3661971830988</v>
      </c>
    </row>
    <row r="24" spans="2:23" x14ac:dyDescent="0.2">
      <c r="V24" s="6">
        <f>Q14</f>
        <v>6.5</v>
      </c>
      <c r="W24" s="10">
        <f>S14</f>
        <v>2153.2394366197182</v>
      </c>
    </row>
    <row r="25" spans="2:23" x14ac:dyDescent="0.2">
      <c r="V25" s="6">
        <f>Q17</f>
        <v>1</v>
      </c>
      <c r="W25" s="10">
        <f>S17</f>
        <v>664.83098591549299</v>
      </c>
    </row>
    <row r="26" spans="2:23" x14ac:dyDescent="0.2">
      <c r="V26" s="6">
        <f>Q20</f>
        <v>-3</v>
      </c>
      <c r="W26" s="10">
        <f>S20</f>
        <v>26.183098591549296</v>
      </c>
    </row>
    <row r="27" spans="2:23" ht="16" thickBot="1" x14ac:dyDescent="0.25">
      <c r="V27" s="7">
        <f>Q23</f>
        <v>-3.5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13B1-5619-F141-9C5D-0B73587EF6A1}">
  <dimension ref="A1:W27"/>
  <sheetViews>
    <sheetView topLeftCell="U1" workbookViewId="0">
      <selection activeCell="AL20" sqref="AL20"/>
    </sheetView>
  </sheetViews>
  <sheetFormatPr baseColWidth="10" defaultRowHeight="15" x14ac:dyDescent="0.2"/>
  <cols>
    <col min="2" max="2" width="13.1640625" customWidth="1"/>
    <col min="17" max="17" width="17.6640625" customWidth="1"/>
    <col min="18" max="18" width="14.83203125" customWidth="1"/>
    <col min="19" max="19" width="20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36</v>
      </c>
      <c r="D2" s="26"/>
      <c r="E2" s="26">
        <v>72</v>
      </c>
      <c r="F2" s="26"/>
      <c r="G2" s="26">
        <v>72</v>
      </c>
      <c r="H2" s="26"/>
      <c r="I2" s="26">
        <v>72</v>
      </c>
      <c r="J2" s="26"/>
      <c r="K2" s="26">
        <v>72</v>
      </c>
      <c r="L2" s="26"/>
      <c r="M2" s="8">
        <v>36</v>
      </c>
      <c r="O2" s="42">
        <v>23</v>
      </c>
      <c r="P2" s="43">
        <v>34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v>40</v>
      </c>
      <c r="E6" s="1"/>
      <c r="F6" s="1">
        <f>19+O2</f>
        <v>42</v>
      </c>
      <c r="G6" s="1"/>
      <c r="H6" s="1">
        <f>36+O2</f>
        <v>59</v>
      </c>
      <c r="I6" s="1"/>
      <c r="J6" s="1">
        <f>26+O2</f>
        <v>49</v>
      </c>
      <c r="K6" s="1"/>
      <c r="L6" s="1">
        <f>11+O2</f>
        <v>34</v>
      </c>
      <c r="M6" s="1"/>
      <c r="N6" s="5">
        <v>0</v>
      </c>
      <c r="Q6" s="10"/>
      <c r="R6" s="4"/>
      <c r="S6" s="35"/>
      <c r="T6" s="1"/>
      <c r="V6" s="6">
        <f>Q8</f>
        <v>57</v>
      </c>
      <c r="W6" s="10">
        <f>R8</f>
        <v>395.57670058939033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23</v>
      </c>
      <c r="W7" s="10">
        <f>R11</f>
        <v>300.31670521677995</v>
      </c>
    </row>
    <row r="8" spans="1:23" x14ac:dyDescent="0.2">
      <c r="B8" s="12"/>
      <c r="C8" s="2">
        <f>SQRT(C2^2+D6^2)</f>
        <v>53.814496188294839</v>
      </c>
      <c r="D8" s="2"/>
      <c r="E8" s="2">
        <f>SQRT(E2^2+(F6-D6)^2)</f>
        <v>72.027772421476428</v>
      </c>
      <c r="F8" s="2"/>
      <c r="G8" s="2">
        <f>SQRT(G2^2+(H6-F6)^2)</f>
        <v>73.979726952726722</v>
      </c>
      <c r="H8" s="2"/>
      <c r="I8" s="2">
        <f>SQRT(I2^2+(H6-J6)^2)</f>
        <v>72.691127381544987</v>
      </c>
      <c r="J8" s="2"/>
      <c r="K8" s="2">
        <f>SQRT(K2^2+(J6-L6)^2)</f>
        <v>73.545904032787575</v>
      </c>
      <c r="L8" s="2"/>
      <c r="M8" s="2">
        <f>SQRT(M2^2+L6^2)</f>
        <v>49.51767361255979</v>
      </c>
      <c r="N8" s="14"/>
      <c r="Q8" s="13">
        <f>O2+P2</f>
        <v>57</v>
      </c>
      <c r="R8" s="12">
        <f>SUM(B8:N8)</f>
        <v>395.57670058939033</v>
      </c>
      <c r="S8" s="36">
        <f>(0.5*C2*D6)+(E2*D6+0.5*E2*(F6-D6))+(G2*F6+0.5*G2*(H6-F6))+(I2*J6+0.5*I2*(H6-J6))+(K2*L6+0.5*K2*(J6-L6))+(0.5*M2*L6)</f>
        <v>14796</v>
      </c>
      <c r="T8" s="1"/>
      <c r="V8" s="6">
        <f>Q14</f>
        <v>17</v>
      </c>
      <c r="W8" s="10">
        <f>R14</f>
        <v>262.82616917542066</v>
      </c>
    </row>
    <row r="9" spans="1:23" x14ac:dyDescent="0.2">
      <c r="B9" s="6"/>
      <c r="C9" s="1"/>
      <c r="D9" s="1">
        <f>D6-L6</f>
        <v>6</v>
      </c>
      <c r="E9" s="1"/>
      <c r="F9" s="1">
        <f>F6-L6</f>
        <v>8</v>
      </c>
      <c r="G9" s="1"/>
      <c r="H9" s="1">
        <f>H6-L6</f>
        <v>25</v>
      </c>
      <c r="I9" s="1"/>
      <c r="J9" s="1">
        <f>J6-L6</f>
        <v>15</v>
      </c>
      <c r="K9" s="1"/>
      <c r="L9" s="1">
        <v>0</v>
      </c>
      <c r="M9" s="1"/>
      <c r="N9" s="5"/>
      <c r="Q9" s="10"/>
      <c r="R9" s="6"/>
      <c r="S9" s="35"/>
      <c r="T9" s="1"/>
      <c r="V9" s="6">
        <f>Q17</f>
        <v>15</v>
      </c>
      <c r="W9" s="10">
        <f>R17</f>
        <v>180.99227621623925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8</v>
      </c>
      <c r="W10" s="10">
        <f>R20</f>
        <v>116.20861382432541</v>
      </c>
    </row>
    <row r="11" spans="1:23" ht="16" thickBot="1" x14ac:dyDescent="0.25">
      <c r="B11" s="12"/>
      <c r="C11" s="2">
        <f>SQRT((C2*(D6-L6)/D6)^2+(D6-L6)^2)</f>
        <v>8.0721744282442263</v>
      </c>
      <c r="D11" s="38"/>
      <c r="E11" s="39">
        <f>SQRT(E2^2+(F6-D6)^2)</f>
        <v>72.027772421476428</v>
      </c>
      <c r="F11" s="38"/>
      <c r="G11" s="2">
        <f>SQRT(G2^2+(H6-F6)^2)</f>
        <v>73.979726952726722</v>
      </c>
      <c r="H11" s="2"/>
      <c r="I11" s="2">
        <f>SQRT(I2^2+(H6-J6)^2)</f>
        <v>72.691127381544987</v>
      </c>
      <c r="J11" s="2"/>
      <c r="K11" s="2">
        <f>SQRT(K2^2+(J6-L6)^2)</f>
        <v>73.545904032787575</v>
      </c>
      <c r="L11" s="19"/>
      <c r="M11" s="2"/>
      <c r="N11" s="14"/>
      <c r="Q11" s="13">
        <f>Q8-L6</f>
        <v>23</v>
      </c>
      <c r="R11" s="12">
        <f>SUM(B11:N11)</f>
        <v>300.31670521677995</v>
      </c>
      <c r="S11" s="36">
        <f>(0.5*C2*(D6-L6)^2/D6)+(E2*(D6-L6)+0.5*E2*(F6-D6))+(G2*(F6-L6)+0.5*G2*(H6-F6))+(I2*(J6-L6)+0.5*I2*(H6-J6))+(0.5*K2*(J6-L6))</f>
        <v>3688.2</v>
      </c>
      <c r="T11" s="1"/>
      <c r="V11" s="7">
        <f>Q23</f>
        <v>-2</v>
      </c>
      <c r="W11" s="11">
        <f>R23</f>
        <v>0</v>
      </c>
    </row>
    <row r="12" spans="1:23" x14ac:dyDescent="0.2">
      <c r="B12" s="6"/>
      <c r="C12" s="1"/>
      <c r="D12" s="1">
        <v>0</v>
      </c>
      <c r="E12" s="1"/>
      <c r="F12" s="1">
        <f>F9-D9</f>
        <v>2</v>
      </c>
      <c r="G12" s="1"/>
      <c r="H12" s="1">
        <f>H9-D9</f>
        <v>19</v>
      </c>
      <c r="I12" s="1"/>
      <c r="J12" s="1">
        <f>J9-D9</f>
        <v>9</v>
      </c>
      <c r="K12" s="1"/>
      <c r="L12" s="1"/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>
        <f>SQRT(E2^2+(F6-D6)^2)</f>
        <v>72.027772421476428</v>
      </c>
      <c r="F14" s="39"/>
      <c r="G14" s="39">
        <f>SQRT(G2^2+(H6-F6)^2)</f>
        <v>73.979726952726722</v>
      </c>
      <c r="H14" s="2"/>
      <c r="I14" s="2">
        <f>SQRT(I2^2+(H6-J6)^2)</f>
        <v>72.691127381544987</v>
      </c>
      <c r="J14" s="2"/>
      <c r="K14" s="2">
        <f>SQRT((K2*(J6-D6)/(J6-L6))^2+(J6-D6)^2)</f>
        <v>44.127542419672551</v>
      </c>
      <c r="L14" s="2"/>
      <c r="M14" s="2"/>
      <c r="N14" s="14"/>
      <c r="Q14" s="13">
        <f>Q11-D9</f>
        <v>17</v>
      </c>
      <c r="R14" s="12">
        <f>SUM(B14:N14)</f>
        <v>262.82616917542066</v>
      </c>
      <c r="S14" s="36">
        <f>(0.5*E2*(F6-D6))+(G2*(F6-D6)+0.5*G2*(H6-F6))+(I2*(J6-D6)+0.5*I2*(H6-J6))+(0.5*K2*(J6-D6)^2/(J6-L6))</f>
        <v>2030.4</v>
      </c>
      <c r="T14" s="1"/>
    </row>
    <row r="15" spans="1:23" x14ac:dyDescent="0.2">
      <c r="B15" s="6"/>
      <c r="C15" s="1"/>
      <c r="D15" s="1"/>
      <c r="E15" s="1"/>
      <c r="F15" s="1">
        <v>0</v>
      </c>
      <c r="G15" s="1"/>
      <c r="H15" s="1">
        <f>H12-F12</f>
        <v>17</v>
      </c>
      <c r="I15" s="1"/>
      <c r="J15" s="1">
        <f>J12-F12</f>
        <v>7</v>
      </c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/>
      <c r="F17" s="2"/>
      <c r="G17" s="2">
        <f>SQRT(G2^2+(H6-F6)^2)</f>
        <v>73.979726952726722</v>
      </c>
      <c r="H17" s="2"/>
      <c r="I17" s="2">
        <f>SQRT(I2^2+(H6-J6)^2)</f>
        <v>72.691127381544987</v>
      </c>
      <c r="J17" s="2"/>
      <c r="K17" s="2">
        <f>SQRT((K2*(J6-F6)/(J6-L6))^2+(J6-F6)^2)</f>
        <v>34.321421881967538</v>
      </c>
      <c r="L17" s="2"/>
      <c r="M17" s="2"/>
      <c r="N17" s="14"/>
      <c r="Q17" s="13">
        <f>Q14-F12</f>
        <v>15</v>
      </c>
      <c r="R17" s="12">
        <f>SUM(B17:N17)</f>
        <v>180.99227621623925</v>
      </c>
      <c r="S17" s="36">
        <f>(0.5*G2*(H6-F6))+(I2*(J6-F6)+0.5*I2*(H6-J6))+(0.5*K2*(J6-F6)^2/(J6-L6))</f>
        <v>1593.6</v>
      </c>
      <c r="T17" s="1"/>
    </row>
    <row r="18" spans="2:23" x14ac:dyDescent="0.2">
      <c r="B18" s="6"/>
      <c r="C18" s="1"/>
      <c r="D18" s="1"/>
      <c r="E18" s="1"/>
      <c r="F18" s="1"/>
      <c r="G18" s="1"/>
      <c r="H18" s="1">
        <f>H15-J15</f>
        <v>10</v>
      </c>
      <c r="I18" s="1"/>
      <c r="J18" s="1">
        <v>0</v>
      </c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/>
      <c r="F20" s="2"/>
      <c r="G20" s="2">
        <f>SQRT((G2*(H6-J6)/(H6-F6))^2+(H6-J6)^2)</f>
        <v>43.517486442780424</v>
      </c>
      <c r="H20" s="2"/>
      <c r="I20" s="2">
        <f>SQRT(I2^2+(H6-J6)^2)</f>
        <v>72.691127381544987</v>
      </c>
      <c r="J20" s="2"/>
      <c r="K20" s="2"/>
      <c r="L20" s="2"/>
      <c r="M20" s="2"/>
      <c r="N20" s="14"/>
      <c r="Q20" s="13">
        <f>Q17-J15</f>
        <v>8</v>
      </c>
      <c r="R20" s="12">
        <f>SUM(B20:N20)</f>
        <v>116.20861382432541</v>
      </c>
      <c r="S20" s="36">
        <f>(0.5*G2*(H6-J6)^2/(H6-F6))+(0.5*I2*(H6-J6))</f>
        <v>571.76470588235293</v>
      </c>
      <c r="T20" s="1"/>
    </row>
    <row r="21" spans="2:23" ht="16" thickBot="1" x14ac:dyDescent="0.25">
      <c r="B21" s="6"/>
      <c r="C21" s="1"/>
      <c r="D21" s="1"/>
      <c r="E21" s="1"/>
      <c r="F21" s="1"/>
      <c r="G21" s="1"/>
      <c r="H21" s="1">
        <v>0</v>
      </c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57</v>
      </c>
      <c r="W22" s="10">
        <f>S8</f>
        <v>14796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Q20-H18</f>
        <v>-2</v>
      </c>
      <c r="R23" s="7">
        <f>SUM(B23:N23)</f>
        <v>0</v>
      </c>
      <c r="S23" s="37">
        <v>0</v>
      </c>
      <c r="T23" s="1"/>
      <c r="V23" s="6">
        <f>Q11</f>
        <v>23</v>
      </c>
      <c r="W23" s="10">
        <f>S11</f>
        <v>3688.2</v>
      </c>
    </row>
    <row r="24" spans="2:23" x14ac:dyDescent="0.2">
      <c r="V24" s="6">
        <f>Q14</f>
        <v>17</v>
      </c>
      <c r="W24" s="10">
        <f>S14</f>
        <v>2030.4</v>
      </c>
    </row>
    <row r="25" spans="2:23" x14ac:dyDescent="0.2">
      <c r="V25" s="6">
        <f>Q17</f>
        <v>15</v>
      </c>
      <c r="W25" s="10">
        <f>S17</f>
        <v>1593.6</v>
      </c>
    </row>
    <row r="26" spans="2:23" x14ac:dyDescent="0.2">
      <c r="V26" s="6">
        <f>Q20</f>
        <v>8</v>
      </c>
      <c r="W26" s="10">
        <f>S20</f>
        <v>571.76470588235293</v>
      </c>
    </row>
    <row r="27" spans="2:23" ht="16" thickBot="1" x14ac:dyDescent="0.25">
      <c r="V27" s="7">
        <f>Q23</f>
        <v>-2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FCBA-8E5E-8F4D-9D3E-F6463E526EB7}">
  <dimension ref="A1:W27"/>
  <sheetViews>
    <sheetView topLeftCell="U1" workbookViewId="0">
      <selection activeCell="AM24" sqref="AM24"/>
    </sheetView>
  </sheetViews>
  <sheetFormatPr baseColWidth="10" defaultRowHeight="15" x14ac:dyDescent="0.2"/>
  <cols>
    <col min="2" max="2" width="12.1640625" customWidth="1"/>
    <col min="17" max="17" width="15.5" customWidth="1"/>
    <col min="18" max="18" width="15.83203125" customWidth="1"/>
    <col min="19" max="19" width="22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345</v>
      </c>
      <c r="D2" s="26"/>
      <c r="E2" s="26">
        <v>690</v>
      </c>
      <c r="F2" s="26"/>
      <c r="G2" s="26">
        <v>690</v>
      </c>
      <c r="H2" s="26"/>
      <c r="I2" s="26">
        <v>690</v>
      </c>
      <c r="J2" s="26"/>
      <c r="K2" s="26">
        <v>690</v>
      </c>
      <c r="L2" s="26"/>
      <c r="M2" s="8">
        <v>345</v>
      </c>
      <c r="O2" s="42">
        <v>100</v>
      </c>
      <c r="P2" s="43">
        <v>20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38+O2</f>
        <v>138</v>
      </c>
      <c r="E6" s="1"/>
      <c r="F6" s="1">
        <f>3+O2</f>
        <v>103</v>
      </c>
      <c r="G6" s="1"/>
      <c r="H6" s="1">
        <f>-56+O2</f>
        <v>44</v>
      </c>
      <c r="I6" s="1"/>
      <c r="J6" s="1">
        <f>-76+O2</f>
        <v>24</v>
      </c>
      <c r="K6" s="1"/>
      <c r="L6" s="1">
        <f>-44+O2</f>
        <v>56</v>
      </c>
      <c r="M6" s="1"/>
      <c r="N6" s="5">
        <v>0</v>
      </c>
      <c r="Q6" s="10"/>
      <c r="R6" s="4"/>
      <c r="S6" s="35"/>
      <c r="T6" s="1"/>
      <c r="V6" s="6">
        <f>Q8</f>
        <v>120</v>
      </c>
      <c r="W6" s="10">
        <f>R8</f>
        <v>3485.5281558071883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96</v>
      </c>
      <c r="W7" s="10">
        <f>R11</f>
        <v>3271.1138729324316</v>
      </c>
    </row>
    <row r="8" spans="1:23" x14ac:dyDescent="0.2">
      <c r="B8" s="12"/>
      <c r="C8" s="2">
        <f>SQRT(C2^2+D6^2)</f>
        <v>371.57637169228076</v>
      </c>
      <c r="D8" s="2"/>
      <c r="E8" s="2">
        <f>SQRT(E2^2+(D6-F6)^2)</f>
        <v>690.88711089439209</v>
      </c>
      <c r="F8" s="2"/>
      <c r="G8" s="2">
        <f>SQRT(G2^2+(F6-H6)^2)</f>
        <v>692.517869805538</v>
      </c>
      <c r="H8" s="2"/>
      <c r="I8" s="2">
        <f>SQRT(I2^2+(H6-J6)^2)</f>
        <v>690.28979421689269</v>
      </c>
      <c r="J8" s="2"/>
      <c r="K8" s="2">
        <f>SQRT(K2^2+(L6-J6)^2)</f>
        <v>690.74163042341672</v>
      </c>
      <c r="L8" s="2"/>
      <c r="M8" s="2">
        <f>SQRT(M2^2+L6^2)</f>
        <v>349.51537877466853</v>
      </c>
      <c r="N8" s="14"/>
      <c r="Q8" s="13">
        <f>O2+P2</f>
        <v>120</v>
      </c>
      <c r="R8" s="12">
        <f>SUM(B8:N8)</f>
        <v>3485.5281558071883</v>
      </c>
      <c r="S8" s="36">
        <f>(0.5*C2*D6)+(E2*F6+0.5*E2*(D6-F6))+(G2*H6+0.5*G2*(F6-H6))+(I2*J6+0.5*K2*(L6-J6))+(0.5*M2*L6)</f>
        <v>194925</v>
      </c>
      <c r="T8" s="1"/>
      <c r="V8" s="6">
        <f>Q14</f>
        <v>76</v>
      </c>
      <c r="W8" s="10">
        <f>R14</f>
        <v>1972.0627495497506</v>
      </c>
    </row>
    <row r="9" spans="1:23" x14ac:dyDescent="0.2">
      <c r="B9" s="6"/>
      <c r="C9" s="1"/>
      <c r="D9" s="1">
        <f>D6-J6</f>
        <v>114</v>
      </c>
      <c r="E9" s="1"/>
      <c r="F9" s="1">
        <f>F6-J6</f>
        <v>79</v>
      </c>
      <c r="G9" s="1"/>
      <c r="H9" s="1">
        <f>H6-J6</f>
        <v>20</v>
      </c>
      <c r="I9" s="1"/>
      <c r="J9" s="1">
        <v>0</v>
      </c>
      <c r="K9" s="1"/>
      <c r="L9" s="1">
        <f>L6-J6</f>
        <v>32</v>
      </c>
      <c r="M9" s="1"/>
      <c r="N9" s="5"/>
      <c r="Q9" s="10"/>
      <c r="R9" s="6"/>
      <c r="S9" s="35"/>
      <c r="T9" s="1"/>
      <c r="V9" s="6">
        <f>Q17</f>
        <v>64</v>
      </c>
      <c r="W9" s="10">
        <f>R17</f>
        <v>1463.3456456286065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17</v>
      </c>
      <c r="W10" s="10">
        <f>R20</f>
        <v>785.12749501924588</v>
      </c>
    </row>
    <row r="11" spans="1:23" ht="16" thickBot="1" x14ac:dyDescent="0.25">
      <c r="B11" s="12"/>
      <c r="C11" s="2">
        <f>SQRT((C2*(D6-J6)/D6)^2+(D6-J6)^2)</f>
        <v>306.95439400666675</v>
      </c>
      <c r="D11" s="38"/>
      <c r="E11" s="39">
        <f>SQRT(E2^2+(D6-F6)^2)</f>
        <v>690.88711089439209</v>
      </c>
      <c r="F11" s="38"/>
      <c r="G11" s="2">
        <f>SQRT(G2^2+(F6-H6)^2)</f>
        <v>692.517869805538</v>
      </c>
      <c r="H11" s="2"/>
      <c r="I11" s="2">
        <f>SQRT(I2^2+(H6-J6)^2)</f>
        <v>690.28979421689269</v>
      </c>
      <c r="J11" s="2"/>
      <c r="K11" s="2">
        <f>SQRT(K2^2+(L6-J6)^2)</f>
        <v>690.74163042341672</v>
      </c>
      <c r="L11" s="19"/>
      <c r="M11" s="2">
        <f>SQRT((M2*(L6-J6)/L6)^2+(L6-J6)^2)</f>
        <v>199.72307358552487</v>
      </c>
      <c r="N11" s="14"/>
      <c r="Q11" s="13">
        <f>Q8-J6</f>
        <v>96</v>
      </c>
      <c r="R11" s="12">
        <f>SUM(B11:N11)</f>
        <v>3271.1138729324316</v>
      </c>
      <c r="S11" s="36">
        <f>(0.5*C2*(D6-H6)^2/D6)+(E2*(F6-J6)+0.5*E2*(D6-F6))+(0.5*K2*(L6-J6))+(0.5*M2*(L6-J6)^2/L6)</f>
        <v>91824.28571428571</v>
      </c>
      <c r="T11" s="1"/>
      <c r="V11" s="7">
        <f>Q23</f>
        <v>-18</v>
      </c>
      <c r="W11" s="11">
        <f>R23</f>
        <v>0</v>
      </c>
    </row>
    <row r="12" spans="1:23" x14ac:dyDescent="0.2">
      <c r="B12" s="6"/>
      <c r="C12" s="1"/>
      <c r="D12" s="1">
        <f>D9-H9</f>
        <v>94</v>
      </c>
      <c r="E12" s="1"/>
      <c r="F12" s="1">
        <f>F9-H9</f>
        <v>59</v>
      </c>
      <c r="G12" s="1"/>
      <c r="H12" s="1">
        <v>0</v>
      </c>
      <c r="I12" s="1"/>
      <c r="J12" s="1"/>
      <c r="K12" s="1"/>
      <c r="L12" s="1">
        <f>L9-H9</f>
        <v>12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>
        <f>SQRT((C2*(D6-H6)/D6)^2+(D6-H6)^2)</f>
        <v>253.10274593532168</v>
      </c>
      <c r="D14" s="39"/>
      <c r="E14" s="39">
        <f>SQRT(E2^2+(F6-H6)^2)</f>
        <v>692.517869805538</v>
      </c>
      <c r="F14" s="39"/>
      <c r="G14" s="38">
        <f>SQRT(G2^2+(F6-H6)^2)</f>
        <v>692.517869805538</v>
      </c>
      <c r="H14" s="2"/>
      <c r="I14" s="2"/>
      <c r="J14" s="2"/>
      <c r="K14" s="2">
        <f>SQRT((K2*(L6-H6)/(L6-J6))^2+(L6-H6)^2)</f>
        <v>259.02811140878129</v>
      </c>
      <c r="L14" s="2"/>
      <c r="M14" s="2">
        <f>SQRT((M2*(L6-H6)/L6)^2+(L6-H6)^2)</f>
        <v>74.896152594571831</v>
      </c>
      <c r="N14" s="14"/>
      <c r="Q14" s="13">
        <f>Q11-H9</f>
        <v>76</v>
      </c>
      <c r="R14" s="12">
        <f>SUM(B14:N14)</f>
        <v>1972.0627495497506</v>
      </c>
      <c r="S14" s="36">
        <f>(0.5*C2*(D6-H6)^2/D6)+(0.5*E2*(D6-F6)+E2*(F6-H6))+(0.5*G2*(F6-H6))+(0.5*K2*(L6-H6)^2/(L6-J6))+(0.5*M2*(L6-H6)^2/L6)</f>
        <v>86181.071428571435</v>
      </c>
      <c r="T14" s="1"/>
    </row>
    <row r="15" spans="1:23" x14ac:dyDescent="0.2">
      <c r="B15" s="6"/>
      <c r="C15" s="1"/>
      <c r="D15" s="1">
        <f>D12-L12</f>
        <v>82</v>
      </c>
      <c r="E15" s="1"/>
      <c r="F15" s="1">
        <f>F12-L12</f>
        <v>47</v>
      </c>
      <c r="G15" s="1"/>
      <c r="H15" s="1"/>
      <c r="I15" s="1"/>
      <c r="J15" s="1"/>
      <c r="K15" s="1"/>
      <c r="L15" s="1">
        <v>0</v>
      </c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>
        <f>SQRT((C2*(D6-L6)/D6)^2+(D6-L6)^2)</f>
        <v>220.79175709251467</v>
      </c>
      <c r="D17" s="2"/>
      <c r="E17" s="2">
        <f>SQRT(E2^2+(D6-F6)^2)</f>
        <v>690.88711089439209</v>
      </c>
      <c r="F17" s="2"/>
      <c r="G17" s="2">
        <f>SQRT((G2*(F6-L6)/(F6-H6))^2+(F6-L6)^2)</f>
        <v>551.6667776416997</v>
      </c>
      <c r="H17" s="2"/>
      <c r="I17" s="2"/>
      <c r="J17" s="2"/>
      <c r="K17" s="2"/>
      <c r="L17" s="2"/>
      <c r="M17" s="2"/>
      <c r="N17" s="14"/>
      <c r="Q17" s="13">
        <f>Q14-L12</f>
        <v>64</v>
      </c>
      <c r="R17" s="12">
        <f>SUM(B17:N17)</f>
        <v>1463.3456456286065</v>
      </c>
      <c r="S17" s="36">
        <f>(0.5*C2*(D6-L6)^2/D6)+(E2*(F6-L6)+0.5*E2*(D6-F6))+(0.5*G2*(F6-L6)^2/(F6-H6))</f>
        <v>65827.03389830509</v>
      </c>
      <c r="T17" s="1"/>
    </row>
    <row r="18" spans="2:23" x14ac:dyDescent="0.2">
      <c r="B18" s="6"/>
      <c r="C18" s="1"/>
      <c r="D18" s="1">
        <f>D15-F15</f>
        <v>35</v>
      </c>
      <c r="E18" s="1"/>
      <c r="F18" s="1">
        <v>0</v>
      </c>
      <c r="G18" s="1"/>
      <c r="H18" s="1"/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>
        <f>SQRT((C2*(D6-F6)/D6)^2+(D6-F6)^2)</f>
        <v>94.240384124853819</v>
      </c>
      <c r="D20" s="2"/>
      <c r="E20" s="2">
        <f>SQRT(E2^2+(D6-F6)^2)</f>
        <v>690.88711089439209</v>
      </c>
      <c r="F20" s="2"/>
      <c r="G20" s="2"/>
      <c r="H20" s="2"/>
      <c r="I20" s="2"/>
      <c r="J20" s="2"/>
      <c r="K20" s="2"/>
      <c r="L20" s="2"/>
      <c r="M20" s="2"/>
      <c r="N20" s="14"/>
      <c r="Q20" s="13">
        <f>Q17-F15</f>
        <v>17</v>
      </c>
      <c r="R20" s="12">
        <f>SUM(B20:N20)</f>
        <v>785.12749501924588</v>
      </c>
      <c r="S20" s="36">
        <f>(0.5*C2*(D6-F6)^2/D6)+(0.5*E2*(D6-F6))</f>
        <v>13606.25</v>
      </c>
      <c r="T20" s="1"/>
    </row>
    <row r="21" spans="2:23" ht="16" thickBot="1" x14ac:dyDescent="0.25">
      <c r="B21" s="6"/>
      <c r="C21" s="1"/>
      <c r="D21" s="1">
        <v>0</v>
      </c>
      <c r="E21" s="1"/>
      <c r="F21" s="1"/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120</v>
      </c>
      <c r="W22" s="10">
        <f>S8</f>
        <v>194925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Q20-D18</f>
        <v>-18</v>
      </c>
      <c r="R23" s="7">
        <f>SUM(B23:N23)</f>
        <v>0</v>
      </c>
      <c r="S23" s="37">
        <v>0</v>
      </c>
      <c r="T23" s="1"/>
      <c r="V23" s="6">
        <f>Q11</f>
        <v>96</v>
      </c>
      <c r="W23" s="10">
        <f>S11</f>
        <v>91824.28571428571</v>
      </c>
    </row>
    <row r="24" spans="2:23" x14ac:dyDescent="0.2">
      <c r="V24" s="6">
        <f>Q14</f>
        <v>76</v>
      </c>
      <c r="W24" s="10">
        <f>S14</f>
        <v>86181.071428571435</v>
      </c>
    </row>
    <row r="25" spans="2:23" x14ac:dyDescent="0.2">
      <c r="V25" s="6">
        <f>Q17</f>
        <v>64</v>
      </c>
      <c r="W25" s="10">
        <f>S17</f>
        <v>65827.03389830509</v>
      </c>
    </row>
    <row r="26" spans="2:23" x14ac:dyDescent="0.2">
      <c r="V26" s="6">
        <f>Q20</f>
        <v>17</v>
      </c>
      <c r="W26" s="10">
        <f>S20</f>
        <v>13606.25</v>
      </c>
    </row>
    <row r="27" spans="2:23" ht="16" thickBot="1" x14ac:dyDescent="0.25">
      <c r="V27" s="7">
        <f>Q23</f>
        <v>-18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866C-94F4-B24C-987C-DE5B763CC81D}">
  <dimension ref="A1:W27"/>
  <sheetViews>
    <sheetView topLeftCell="Q1" workbookViewId="0">
      <selection activeCell="AH31" sqref="AH31"/>
    </sheetView>
  </sheetViews>
  <sheetFormatPr baseColWidth="10" defaultRowHeight="15" x14ac:dyDescent="0.2"/>
  <cols>
    <col min="17" max="17" width="14.6640625" customWidth="1"/>
    <col min="18" max="18" width="13.6640625" customWidth="1"/>
    <col min="19" max="19" width="17.1640625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79</v>
      </c>
      <c r="D2" s="26"/>
      <c r="E2" s="26">
        <v>158</v>
      </c>
      <c r="F2" s="26"/>
      <c r="G2" s="26">
        <v>158</v>
      </c>
      <c r="H2" s="26"/>
      <c r="I2" s="26">
        <v>158</v>
      </c>
      <c r="J2" s="26"/>
      <c r="K2" s="26">
        <v>158</v>
      </c>
      <c r="L2" s="26"/>
      <c r="M2" s="8">
        <v>79</v>
      </c>
      <c r="O2" s="42">
        <v>63</v>
      </c>
      <c r="P2" s="43">
        <v>35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-50+O2</f>
        <v>13</v>
      </c>
      <c r="E6" s="1"/>
      <c r="F6" s="1">
        <f>48+O2</f>
        <v>111</v>
      </c>
      <c r="G6" s="1"/>
      <c r="H6" s="1">
        <f>12+O2</f>
        <v>75</v>
      </c>
      <c r="I6" s="1"/>
      <c r="J6" s="1">
        <f>-15+O2</f>
        <v>48</v>
      </c>
      <c r="K6" s="1"/>
      <c r="L6" s="1">
        <f>-40+O2</f>
        <v>23</v>
      </c>
      <c r="M6" s="1"/>
      <c r="N6" s="5">
        <v>0</v>
      </c>
      <c r="Q6" s="10"/>
      <c r="R6" s="4"/>
      <c r="S6" s="35"/>
      <c r="T6" s="1"/>
      <c r="V6" s="6">
        <f>Q8</f>
        <v>98</v>
      </c>
      <c r="W6" s="10">
        <f>R8</f>
        <v>830.57255930499457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85</v>
      </c>
      <c r="W7" s="10">
        <f>R11</f>
        <v>704.00399124793012</v>
      </c>
    </row>
    <row r="8" spans="1:23" x14ac:dyDescent="0.2">
      <c r="B8" s="12"/>
      <c r="C8" s="2">
        <f>SQRT(C2^2+D6^2)</f>
        <v>80.062475604992386</v>
      </c>
      <c r="D8" s="2"/>
      <c r="E8" s="2">
        <f>SQRT(E2^2+(F6-D6)^2)</f>
        <v>185.92471594707359</v>
      </c>
      <c r="F8" s="2"/>
      <c r="G8" s="2">
        <f>SQRT(G2^2+(F6-H6)^2)</f>
        <v>162.04937519163718</v>
      </c>
      <c r="H8" s="2"/>
      <c r="I8" s="2">
        <f>SQRT(I2^2+(H6-J6)^2)</f>
        <v>160.29036153181514</v>
      </c>
      <c r="J8" s="2"/>
      <c r="K8" s="2">
        <f>SQRT(K2^2+(J6-L6)^2)</f>
        <v>159.96562130657949</v>
      </c>
      <c r="L8" s="2"/>
      <c r="M8" s="2">
        <f>SQRT(M2^2+L6^2)</f>
        <v>82.28000972289685</v>
      </c>
      <c r="N8" s="14"/>
      <c r="Q8" s="13">
        <f>O2+P2</f>
        <v>98</v>
      </c>
      <c r="R8" s="12">
        <f>SUM(B8:N8)</f>
        <v>830.57255930499457</v>
      </c>
      <c r="S8" s="36">
        <f>(0.5*C2*D6)+(E2*D6+0.5*E2*(F6-D6))+(G2*H6+0.5*G2*(F6-H6))+(I2*J6+0.5*I2*(H6-J6))+(K2*L6+0.5*K2*(J6-L6))+(0.5*M2*L6)</f>
        <v>41238</v>
      </c>
      <c r="T8" s="1"/>
      <c r="V8" s="6">
        <f>Q14</f>
        <v>75</v>
      </c>
      <c r="W8" s="10">
        <f>R14</f>
        <v>649.25816418658769</v>
      </c>
    </row>
    <row r="9" spans="1:23" x14ac:dyDescent="0.2">
      <c r="B9" s="6"/>
      <c r="C9" s="1"/>
      <c r="D9" s="1">
        <v>0</v>
      </c>
      <c r="E9" s="1"/>
      <c r="F9" s="1">
        <f>F6-D6</f>
        <v>98</v>
      </c>
      <c r="G9" s="1"/>
      <c r="H9" s="1">
        <f>H6-D6</f>
        <v>62</v>
      </c>
      <c r="I9" s="1"/>
      <c r="J9" s="1">
        <f>J6-D6</f>
        <v>35</v>
      </c>
      <c r="K9" s="1"/>
      <c r="L9" s="1">
        <f>L6-D6</f>
        <v>10</v>
      </c>
      <c r="M9" s="1"/>
      <c r="N9" s="5"/>
      <c r="Q9" s="10"/>
      <c r="R9" s="6"/>
      <c r="S9" s="35"/>
      <c r="T9" s="1"/>
      <c r="V9" s="6">
        <f>Q17</f>
        <v>50</v>
      </c>
      <c r="W9" s="10">
        <f>R17</f>
        <v>441.86276840371397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23</v>
      </c>
      <c r="W10" s="10">
        <f>R20</f>
        <v>230.34825043750095</v>
      </c>
    </row>
    <row r="11" spans="1:23" ht="16" thickBot="1" x14ac:dyDescent="0.25">
      <c r="B11" s="12"/>
      <c r="C11" s="2"/>
      <c r="D11" s="38"/>
      <c r="E11" s="39">
        <f>SQRT(E2^2+(F6-D6)^2)</f>
        <v>185.92471594707359</v>
      </c>
      <c r="F11" s="38"/>
      <c r="G11" s="2">
        <f>SQRT(G2^2+(F6-H6)^2)</f>
        <v>162.04937519163718</v>
      </c>
      <c r="H11" s="2"/>
      <c r="I11" s="2">
        <f>SQRT(I2^2+(H6-J6)^2)</f>
        <v>160.29036153181514</v>
      </c>
      <c r="J11" s="2"/>
      <c r="K11" s="2">
        <f>SQRT(K2^2+(J6-L6)^2)</f>
        <v>159.96562130657949</v>
      </c>
      <c r="L11" s="19"/>
      <c r="M11" s="2">
        <f>SQRT((M2*(L6-D6)/L6)^2+(L6-D6)^2)</f>
        <v>35.773917270824718</v>
      </c>
      <c r="N11" s="14"/>
      <c r="Q11" s="13">
        <f>Q8-D6</f>
        <v>85</v>
      </c>
      <c r="R11" s="12">
        <f>SUM(B11:N11)</f>
        <v>704.00399124793012</v>
      </c>
      <c r="S11" s="36">
        <f>(0.5*E2*(F6-D6))+(G2*(H6-D6)+0.5*G2*(F6-H6))+(I2*(J6-D6)+0.5*I2*(H6-J6))+(K2*(L6-D6)+0.5*K2*(J6-L6))+(0.5*M2*(L6-D6)^2/L6)</f>
        <v>31771.739130434784</v>
      </c>
      <c r="T11" s="1"/>
      <c r="V11" s="7">
        <f>Q23</f>
        <v>-13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f>F9-L9</f>
        <v>88</v>
      </c>
      <c r="G12" s="1"/>
      <c r="H12" s="1">
        <f>H9-L9</f>
        <v>52</v>
      </c>
      <c r="I12" s="1"/>
      <c r="J12" s="1">
        <f>J9-L9</f>
        <v>25</v>
      </c>
      <c r="K12" s="1"/>
      <c r="L12" s="1">
        <v>0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>
        <f>SQRT((E2*(F6-L6)/(F6-D6))^2+(F6-L6)^2)</f>
        <v>166.95280615655588</v>
      </c>
      <c r="F14" s="39"/>
      <c r="G14" s="38">
        <f>SQRT(G2^2+(F6-H6)^2)</f>
        <v>162.04937519163718</v>
      </c>
      <c r="H14" s="2"/>
      <c r="I14" s="2">
        <f>SQRT(I2^2+(H6-J6)^2)</f>
        <v>160.29036153181514</v>
      </c>
      <c r="J14" s="2"/>
      <c r="K14" s="2">
        <f>SQRT(K2^2+(J6-L6)^2)</f>
        <v>159.96562130657949</v>
      </c>
      <c r="L14" s="2"/>
      <c r="M14" s="2"/>
      <c r="N14" s="14"/>
      <c r="Q14" s="13">
        <f>Q11-L9</f>
        <v>75</v>
      </c>
      <c r="R14" s="12">
        <f>SUM(B14:N14)</f>
        <v>649.25816418658769</v>
      </c>
      <c r="S14" s="36">
        <f>SQRT(0.5*E2*(F6-L6)^2/(F6-D6))+(G2*(H6-L6)+0.5*G2*(F6-H6))+(I2*(J6-L6)+0.5*I2*(H6-J6))+(0.5*K2*(J6-L6))</f>
        <v>19197.010203422709</v>
      </c>
      <c r="T14" s="1"/>
    </row>
    <row r="15" spans="1:23" x14ac:dyDescent="0.2">
      <c r="B15" s="6"/>
      <c r="C15" s="1"/>
      <c r="D15" s="1"/>
      <c r="E15" s="1"/>
      <c r="F15" s="1">
        <f>F12-J12</f>
        <v>63</v>
      </c>
      <c r="G15" s="1"/>
      <c r="H15" s="1">
        <f>H12-J12</f>
        <v>27</v>
      </c>
      <c r="I15" s="1"/>
      <c r="J15" s="1">
        <v>0</v>
      </c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>
        <f>SQRT((E2*(F6-J6)/(F6-D6))^2+(F6-J6)^2)</f>
        <v>119.5230316802616</v>
      </c>
      <c r="F17" s="2"/>
      <c r="G17" s="2">
        <f>SQRT(G2^2+(F6-H6)^2)</f>
        <v>162.04937519163718</v>
      </c>
      <c r="H17" s="2"/>
      <c r="I17" s="2">
        <f>SQRT(I2^2+(H6-J6)^2)</f>
        <v>160.29036153181514</v>
      </c>
      <c r="J17" s="2"/>
      <c r="K17" s="2"/>
      <c r="L17" s="2"/>
      <c r="M17" s="2"/>
      <c r="N17" s="14"/>
      <c r="Q17" s="13">
        <f>Q14-J12</f>
        <v>50</v>
      </c>
      <c r="R17" s="12">
        <f>SUM(B17:N17)</f>
        <v>441.86276840371397</v>
      </c>
      <c r="S17" s="36">
        <f>(0.5*E2*(F6-J6)^2/(F6-D6))+(G2*(H6-J6)+0.5*G2*(F6-H6))+(0.5*I2*(H6-J6))</f>
        <v>12442.5</v>
      </c>
      <c r="T17" s="1"/>
    </row>
    <row r="18" spans="2:23" x14ac:dyDescent="0.2">
      <c r="B18" s="6"/>
      <c r="C18" s="1"/>
      <c r="D18" s="1"/>
      <c r="E18" s="1"/>
      <c r="F18" s="1">
        <f>F15-H15</f>
        <v>36</v>
      </c>
      <c r="G18" s="1"/>
      <c r="H18" s="1">
        <v>0</v>
      </c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>
        <f>SQRT((E2*(F6-H6)/(F6-D6))^2+(F6-H6)^2)</f>
        <v>68.298875245863769</v>
      </c>
      <c r="F20" s="2"/>
      <c r="G20" s="2">
        <f>SQRT(G2^2+(F6-H6)^2)</f>
        <v>162.04937519163718</v>
      </c>
      <c r="H20" s="2"/>
      <c r="I20" s="2"/>
      <c r="J20" s="2"/>
      <c r="K20" s="2"/>
      <c r="L20" s="2"/>
      <c r="M20" s="2"/>
      <c r="N20" s="14"/>
      <c r="Q20" s="13">
        <f>Q17-H15</f>
        <v>23</v>
      </c>
      <c r="R20" s="12">
        <f>SUM(B20:N20)</f>
        <v>230.34825043750095</v>
      </c>
      <c r="S20" s="36">
        <f>(0.5*E2*(F6-H6)^2/(F6-D6))+(0.5*G2*(F6-H6))</f>
        <v>3888.7346938775509</v>
      </c>
      <c r="T20" s="1"/>
    </row>
    <row r="21" spans="2:23" ht="16" thickBot="1" x14ac:dyDescent="0.25">
      <c r="B21" s="6"/>
      <c r="C21" s="1"/>
      <c r="D21" s="1"/>
      <c r="E21" s="1"/>
      <c r="F21" s="1">
        <v>0</v>
      </c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98</v>
      </c>
      <c r="W22" s="10">
        <f>S8</f>
        <v>41238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Q20-F18</f>
        <v>-13</v>
      </c>
      <c r="R23" s="7">
        <f>SUM(B23:N23)</f>
        <v>0</v>
      </c>
      <c r="S23" s="37">
        <v>0</v>
      </c>
      <c r="T23" s="1"/>
      <c r="V23" s="6">
        <f>Q11</f>
        <v>85</v>
      </c>
      <c r="W23" s="10">
        <f>S11</f>
        <v>31771.739130434784</v>
      </c>
    </row>
    <row r="24" spans="2:23" x14ac:dyDescent="0.2">
      <c r="V24" s="6">
        <f>Q14</f>
        <v>75</v>
      </c>
      <c r="W24" s="10">
        <f>S14</f>
        <v>19197.010203422709</v>
      </c>
    </row>
    <row r="25" spans="2:23" x14ac:dyDescent="0.2">
      <c r="V25" s="6">
        <f>Q17</f>
        <v>50</v>
      </c>
      <c r="W25" s="10">
        <f>S17</f>
        <v>12442.5</v>
      </c>
    </row>
    <row r="26" spans="2:23" x14ac:dyDescent="0.2">
      <c r="V26" s="6">
        <f>Q20</f>
        <v>23</v>
      </c>
      <c r="W26" s="10">
        <f>S20</f>
        <v>3888.7346938775509</v>
      </c>
    </row>
    <row r="27" spans="2:23" ht="16" thickBot="1" x14ac:dyDescent="0.25">
      <c r="V27" s="7">
        <f>Q23</f>
        <v>-13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B280-26E3-D547-B3EE-E0F4DFD4B9CA}">
  <dimension ref="A1:W27"/>
  <sheetViews>
    <sheetView topLeftCell="Q74" workbookViewId="0">
      <selection activeCell="V22" sqref="V22:W27"/>
    </sheetView>
  </sheetViews>
  <sheetFormatPr baseColWidth="10" defaultRowHeight="15" x14ac:dyDescent="0.2"/>
  <cols>
    <col min="2" max="2" width="13" customWidth="1"/>
    <col min="17" max="17" width="15.1640625" customWidth="1"/>
    <col min="18" max="18" width="16.6640625" customWidth="1"/>
    <col min="19" max="19" width="16.5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46</v>
      </c>
      <c r="D2" s="26"/>
      <c r="E2" s="26">
        <v>92</v>
      </c>
      <c r="F2" s="26"/>
      <c r="G2" s="26">
        <v>92</v>
      </c>
      <c r="H2" s="26"/>
      <c r="I2" s="26">
        <v>92</v>
      </c>
      <c r="J2" s="26"/>
      <c r="K2" s="26">
        <v>92</v>
      </c>
      <c r="L2" s="26"/>
      <c r="M2" s="8">
        <v>46</v>
      </c>
      <c r="O2" s="42">
        <v>22</v>
      </c>
      <c r="P2" s="43">
        <v>48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51+O2</f>
        <v>73</v>
      </c>
      <c r="E6" s="1"/>
      <c r="F6" s="1">
        <f>86+O2</f>
        <v>108</v>
      </c>
      <c r="G6" s="1"/>
      <c r="H6" s="1">
        <f>80+O2</f>
        <v>102</v>
      </c>
      <c r="I6" s="1"/>
      <c r="J6" s="1">
        <f>69+O2</f>
        <v>91</v>
      </c>
      <c r="K6" s="1"/>
      <c r="L6" s="1">
        <f>59+O2</f>
        <v>81</v>
      </c>
      <c r="M6" s="1"/>
      <c r="N6" s="5">
        <v>0</v>
      </c>
      <c r="Q6" s="10"/>
      <c r="R6" s="4"/>
      <c r="S6" s="35"/>
      <c r="T6" s="1"/>
      <c r="V6" s="6">
        <f>Q8</f>
        <v>70</v>
      </c>
      <c r="W6" s="10">
        <f>R8</f>
        <v>555.26014961923238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-3</v>
      </c>
      <c r="W7" s="10">
        <f>R11</f>
        <v>385.02536128591743</v>
      </c>
    </row>
    <row r="8" spans="1:23" x14ac:dyDescent="0.2">
      <c r="B8" s="12"/>
      <c r="C8" s="2">
        <f>SQRT(C2^2+D6^2)</f>
        <v>86.284413424441851</v>
      </c>
      <c r="D8" s="2"/>
      <c r="E8" s="2">
        <f>SQRT(E2^2+(F6-D6)^2)</f>
        <v>98.432718137822448</v>
      </c>
      <c r="F8" s="2"/>
      <c r="G8" s="2">
        <f>SQRT(G2^2+(F6-H6)^2)</f>
        <v>92.195444572928878</v>
      </c>
      <c r="H8" s="2"/>
      <c r="I8" s="2">
        <f>SQRT(I2^2+(H6-J6)^2)</f>
        <v>92.655275079188016</v>
      </c>
      <c r="J8" s="2"/>
      <c r="K8" s="2">
        <f>SQRT(K2^2+(J6-L6)^2)</f>
        <v>92.541882410074194</v>
      </c>
      <c r="L8" s="2"/>
      <c r="M8" s="2">
        <f>SQRT(M2^2+L6^2)</f>
        <v>93.150415994776964</v>
      </c>
      <c r="N8" s="14"/>
      <c r="Q8" s="13">
        <f>O2+P2</f>
        <v>70</v>
      </c>
      <c r="R8" s="12">
        <f>SUM(B8:N8)</f>
        <v>555.26014961923238</v>
      </c>
      <c r="S8" s="36">
        <f>(0.5*C2*D6)+(E2*D6+0.5*E2*(F6-D6))+(G2*H6+0.5*G2*(F6-H6))+(I2*J6+0.5*I2*(H6-J6))+(K2*L6+0.5*K2*(J6-L6))+(0.5*M2*L6)</f>
        <v>38318</v>
      </c>
      <c r="T8" s="1"/>
      <c r="V8" s="6">
        <f>Q14</f>
        <v>-11</v>
      </c>
      <c r="W8" s="10">
        <f>R14</f>
        <v>353.32641319708273</v>
      </c>
    </row>
    <row r="9" spans="1:23" x14ac:dyDescent="0.2">
      <c r="B9" s="6"/>
      <c r="C9" s="1"/>
      <c r="D9" s="1">
        <v>0</v>
      </c>
      <c r="E9" s="1"/>
      <c r="F9" s="1">
        <f>F6-D6</f>
        <v>35</v>
      </c>
      <c r="G9" s="1"/>
      <c r="H9" s="1">
        <f>H6-D6</f>
        <v>29</v>
      </c>
      <c r="I9" s="1"/>
      <c r="J9" s="1">
        <f>J6-D6</f>
        <v>18</v>
      </c>
      <c r="K9" s="1"/>
      <c r="L9" s="1">
        <f>L6-D6</f>
        <v>8</v>
      </c>
      <c r="M9" s="1"/>
      <c r="N9" s="5"/>
      <c r="Q9" s="10"/>
      <c r="R9" s="6"/>
      <c r="S9" s="35"/>
      <c r="T9" s="1"/>
      <c r="V9" s="6">
        <f>Q17</f>
        <v>-21</v>
      </c>
      <c r="W9" s="10">
        <f>R17</f>
        <v>232.66089703334495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-32</v>
      </c>
      <c r="W10" s="10">
        <f>R20</f>
        <v>130.58473942427608</v>
      </c>
    </row>
    <row r="11" spans="1:23" ht="16" thickBot="1" x14ac:dyDescent="0.25">
      <c r="B11" s="12"/>
      <c r="C11" s="2"/>
      <c r="D11" s="38"/>
      <c r="E11" s="39">
        <f>SQRT(E2^2+(F6-D6)^2)</f>
        <v>98.432718137822448</v>
      </c>
      <c r="F11" s="38"/>
      <c r="G11" s="2">
        <f>SQRT(G2^2+(F6-H6)^2)</f>
        <v>92.195444572928878</v>
      </c>
      <c r="H11" s="2"/>
      <c r="I11" s="2">
        <f>SQRT(I2^2+(H6-J6)^2)</f>
        <v>92.655275079188016</v>
      </c>
      <c r="J11" s="2"/>
      <c r="K11" s="2">
        <f>SQRT(K2^2+(J6-L6)^2)</f>
        <v>92.541882410074194</v>
      </c>
      <c r="L11" s="19"/>
      <c r="M11" s="2">
        <f>SQRT((M2*(L6-D6)/L6)^2+(L6-D6)^2)</f>
        <v>9.2000410859038979</v>
      </c>
      <c r="N11" s="14"/>
      <c r="Q11" s="13">
        <f>Q8-D6</f>
        <v>-3</v>
      </c>
      <c r="R11" s="12">
        <f>SUM(B11:N11)</f>
        <v>385.02536128591743</v>
      </c>
      <c r="S11" s="36">
        <f>(G2*(H6-D6)+0.5*G2*(F6-H6))+(I2*(J6-D6)+0.5*I2*(H6-J6))+(K2*(L6-D6)+0.5*K2*(J6-L6))+(0.5*M2*(L6-D6)^2/L6)</f>
        <v>6320.1728395061727</v>
      </c>
      <c r="T11" s="1"/>
      <c r="V11" s="7">
        <f>Q23</f>
        <v>-38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f>F9-L9</f>
        <v>27</v>
      </c>
      <c r="G12" s="1"/>
      <c r="H12" s="1">
        <f>H9-L9</f>
        <v>21</v>
      </c>
      <c r="I12" s="1"/>
      <c r="J12" s="1">
        <f>J9-L9</f>
        <v>10</v>
      </c>
      <c r="K12" s="1"/>
      <c r="L12" s="1">
        <v>0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>
        <f>SQRT((E2*(F6-L6)/(F6-D6))^2+(F6-L6)^2)</f>
        <v>75.933811134891599</v>
      </c>
      <c r="F14" s="39"/>
      <c r="G14" s="38">
        <f>SQRT(G2^2+(F6-H6)^2)</f>
        <v>92.195444572928878</v>
      </c>
      <c r="H14" s="2"/>
      <c r="I14" s="2">
        <f>SQRT(I2^2+(H6-J6)^2)</f>
        <v>92.655275079188016</v>
      </c>
      <c r="J14" s="2"/>
      <c r="K14" s="2">
        <f>SQRT(K2^2+(J6-L6)^2)</f>
        <v>92.541882410074194</v>
      </c>
      <c r="L14" s="2"/>
      <c r="M14" s="2"/>
      <c r="N14" s="14"/>
      <c r="Q14" s="13">
        <f>Q11-L9</f>
        <v>-11</v>
      </c>
      <c r="R14" s="12">
        <f>SUM(B14:N14)</f>
        <v>353.32641319708273</v>
      </c>
      <c r="S14" s="36">
        <f>(0.5*E2*(F6-L6)^2/(F6-D6))+(G2*(H6-L6)+0.5*G2*(F6-H6))+(I2*(J6-L6)+0.5*I2*(H6-J6))+(0.5*K2*(J6-L6))</f>
        <v>5052.1142857142859</v>
      </c>
      <c r="T14" s="1"/>
    </row>
    <row r="15" spans="1:23" x14ac:dyDescent="0.2">
      <c r="B15" s="6"/>
      <c r="C15" s="1"/>
      <c r="D15" s="1"/>
      <c r="E15" s="1"/>
      <c r="F15" s="1">
        <f>F12-J12</f>
        <v>17</v>
      </c>
      <c r="G15" s="1"/>
      <c r="H15" s="1">
        <f>H12-J12</f>
        <v>11</v>
      </c>
      <c r="I15" s="1"/>
      <c r="J15" s="1">
        <v>0</v>
      </c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>
        <f>SQRT((E2*(F6-J6)/(F6-D6))^2+(F6-J6)^2)</f>
        <v>47.810177381228044</v>
      </c>
      <c r="F17" s="2"/>
      <c r="G17" s="2">
        <f>SQRT(G2^2+(F6-H6)^2)</f>
        <v>92.195444572928878</v>
      </c>
      <c r="H17" s="2"/>
      <c r="I17" s="2">
        <f>SQRT(I2^2+(H6-J6)^2)</f>
        <v>92.655275079188016</v>
      </c>
      <c r="J17" s="2"/>
      <c r="K17" s="2"/>
      <c r="L17" s="2"/>
      <c r="M17" s="2"/>
      <c r="N17" s="14"/>
      <c r="Q17" s="13">
        <f>Q14-J12</f>
        <v>-21</v>
      </c>
      <c r="R17" s="12">
        <f>SUM(B17:N17)</f>
        <v>232.66089703334495</v>
      </c>
      <c r="S17" s="36">
        <f>(0.5*E2*(F6-J6)^2/(F6-D6))+(G2*(H6-J6)+0.5*G2*(F6-H6))+(0.5*I2*(H6-J6))</f>
        <v>2173.8285714285712</v>
      </c>
      <c r="T17" s="1"/>
    </row>
    <row r="18" spans="2:23" x14ac:dyDescent="0.2">
      <c r="B18" s="6"/>
      <c r="C18" s="1"/>
      <c r="D18" s="1"/>
      <c r="E18" s="1"/>
      <c r="F18" s="1">
        <f>F15-H15</f>
        <v>6</v>
      </c>
      <c r="G18" s="1"/>
      <c r="H18" s="1">
        <v>0</v>
      </c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>
        <f>SQRT((E2*(F6-H6)/(F6-D6))^2+(F6-D6)^2)</f>
        <v>38.389294851347209</v>
      </c>
      <c r="F20" s="2"/>
      <c r="G20" s="2">
        <f>SQRT(G2^2+(F6-H6)^2)</f>
        <v>92.195444572928878</v>
      </c>
      <c r="H20" s="2"/>
      <c r="I20" s="2"/>
      <c r="J20" s="2"/>
      <c r="K20" s="2"/>
      <c r="L20" s="2"/>
      <c r="M20" s="2"/>
      <c r="N20" s="14"/>
      <c r="Q20" s="13">
        <f>Q17-H15</f>
        <v>-32</v>
      </c>
      <c r="R20" s="12">
        <f>SUM(B20:N20)</f>
        <v>130.58473942427608</v>
      </c>
      <c r="S20" s="36">
        <f>(0.5*E2*(F6-H6)^2/(F6-D6))+(0.5*G2*(F6-H6))</f>
        <v>323.31428571428569</v>
      </c>
      <c r="T20" s="1"/>
    </row>
    <row r="21" spans="2:23" ht="16" thickBot="1" x14ac:dyDescent="0.25">
      <c r="B21" s="6"/>
      <c r="C21" s="1"/>
      <c r="D21" s="1"/>
      <c r="E21" s="1"/>
      <c r="F21" s="1">
        <v>0</v>
      </c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70</v>
      </c>
      <c r="W22" s="10">
        <f>S8</f>
        <v>38318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Q20-F18</f>
        <v>-38</v>
      </c>
      <c r="R23" s="7">
        <f>SUM(B23:N23)</f>
        <v>0</v>
      </c>
      <c r="S23" s="37">
        <v>0</v>
      </c>
      <c r="T23" s="1"/>
      <c r="V23" s="6">
        <f>Q11</f>
        <v>-3</v>
      </c>
      <c r="W23" s="10">
        <f>S11</f>
        <v>6320.1728395061727</v>
      </c>
    </row>
    <row r="24" spans="2:23" x14ac:dyDescent="0.2">
      <c r="V24" s="6">
        <f>Q14</f>
        <v>-11</v>
      </c>
      <c r="W24" s="10">
        <f>S14</f>
        <v>5052.1142857142859</v>
      </c>
    </row>
    <row r="25" spans="2:23" x14ac:dyDescent="0.2">
      <c r="V25" s="6">
        <f>Q17</f>
        <v>-21</v>
      </c>
      <c r="W25" s="10">
        <f>S17</f>
        <v>2173.8285714285712</v>
      </c>
    </row>
    <row r="26" spans="2:23" x14ac:dyDescent="0.2">
      <c r="V26" s="6">
        <f>Q20</f>
        <v>-32</v>
      </c>
      <c r="W26" s="10">
        <f>S20</f>
        <v>323.31428571428569</v>
      </c>
    </row>
    <row r="27" spans="2:23" ht="16" thickBot="1" x14ac:dyDescent="0.25">
      <c r="V27" s="7">
        <f>Q23</f>
        <v>-38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0015-AFE4-F948-9ABA-D4C6407E4DAF}">
  <dimension ref="A1:W27"/>
  <sheetViews>
    <sheetView topLeftCell="U1" workbookViewId="0">
      <selection activeCell="AG42" sqref="AG42"/>
    </sheetView>
  </sheetViews>
  <sheetFormatPr baseColWidth="10" defaultRowHeight="15" x14ac:dyDescent="0.2"/>
  <cols>
    <col min="2" max="2" width="12.5" customWidth="1"/>
    <col min="17" max="17" width="19.5" customWidth="1"/>
    <col min="18" max="18" width="17.33203125" customWidth="1"/>
    <col min="19" max="19" width="22.1640625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141</v>
      </c>
      <c r="D2" s="26"/>
      <c r="E2" s="26">
        <v>282</v>
      </c>
      <c r="F2" s="26"/>
      <c r="G2" s="26">
        <v>282</v>
      </c>
      <c r="H2" s="26"/>
      <c r="I2" s="26">
        <v>282</v>
      </c>
      <c r="J2" s="26"/>
      <c r="K2" s="26">
        <v>282</v>
      </c>
      <c r="L2" s="26"/>
      <c r="M2" s="8">
        <v>141</v>
      </c>
      <c r="O2" s="42">
        <v>80</v>
      </c>
      <c r="P2" s="43">
        <v>34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21+O2</f>
        <v>101</v>
      </c>
      <c r="E6" s="1"/>
      <c r="F6" s="1">
        <f>47+O2</f>
        <v>127</v>
      </c>
      <c r="G6" s="1"/>
      <c r="H6" s="1">
        <f>38+O2</f>
        <v>118</v>
      </c>
      <c r="I6" s="1"/>
      <c r="J6" s="1">
        <f>35+O2</f>
        <v>115</v>
      </c>
      <c r="K6" s="1"/>
      <c r="L6" s="1">
        <f>19+O2</f>
        <v>99</v>
      </c>
      <c r="M6" s="1"/>
      <c r="N6" s="5">
        <v>0</v>
      </c>
      <c r="Q6" s="10"/>
      <c r="R6" s="4"/>
      <c r="S6" s="35"/>
      <c r="T6" s="1"/>
      <c r="V6" s="6">
        <f>Q8</f>
        <v>114</v>
      </c>
      <c r="W6" s="10">
        <f>R8</f>
        <v>1475.5353996546246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15</v>
      </c>
      <c r="W7" s="10">
        <f>R11</f>
        <v>1133.2436064155313</v>
      </c>
    </row>
    <row r="8" spans="1:23" x14ac:dyDescent="0.2">
      <c r="B8" s="12"/>
      <c r="C8" s="2">
        <f>SQRT(C2^2+D6^2)</f>
        <v>173.44163283364233</v>
      </c>
      <c r="D8" s="2"/>
      <c r="E8" s="2">
        <f>SQRT(E2^2+(F6-D6)^2)</f>
        <v>283.1960451701259</v>
      </c>
      <c r="F8" s="2"/>
      <c r="G8" s="2">
        <f>SQRT(G2^2+(F6-H6)^2)</f>
        <v>282.14358046923553</v>
      </c>
      <c r="H8" s="2"/>
      <c r="I8" s="2">
        <f>SQRT(I2^2+(H6-J6)^2)</f>
        <v>282.01595699534448</v>
      </c>
      <c r="J8" s="2"/>
      <c r="K8" s="2">
        <f>SQRT(K2^2+(J6-L6)^2)</f>
        <v>282.45353600194142</v>
      </c>
      <c r="L8" s="2"/>
      <c r="M8" s="2">
        <f>SQRT(M2^2+L6^2)</f>
        <v>172.28464818433474</v>
      </c>
      <c r="N8" s="14"/>
      <c r="Q8" s="13">
        <f>O2+P2</f>
        <v>114</v>
      </c>
      <c r="R8" s="12">
        <f>SUM(B8:N8)</f>
        <v>1475.5353996546246</v>
      </c>
      <c r="S8" s="36">
        <f>(0.5*C2*D6)+(E2*D6+0.5*E2*(F6-D6))+(G2*F6+0.5*G2*(F6-H6))+(I2*J6+0.5*I2*(H6-J6))+(K2*L6+0.5*K2*(J6-L6))+(0.5*M2*L6)</f>
        <v>146358</v>
      </c>
      <c r="T8" s="1"/>
      <c r="V8" s="6">
        <f>Q14</f>
        <v>13</v>
      </c>
      <c r="W8" s="10">
        <f>R14</f>
        <v>1094.5024266347059</v>
      </c>
    </row>
    <row r="9" spans="1:23" x14ac:dyDescent="0.2">
      <c r="B9" s="6"/>
      <c r="C9" s="1"/>
      <c r="D9" s="1">
        <f>D6-L6</f>
        <v>2</v>
      </c>
      <c r="E9" s="1"/>
      <c r="F9" s="1">
        <f>F6-L6</f>
        <v>28</v>
      </c>
      <c r="G9" s="1"/>
      <c r="H9" s="1">
        <f>H6-L6</f>
        <v>19</v>
      </c>
      <c r="I9" s="1"/>
      <c r="J9" s="1">
        <f>J6-L6</f>
        <v>16</v>
      </c>
      <c r="K9" s="1"/>
      <c r="L9" s="1">
        <v>0</v>
      </c>
      <c r="M9" s="1"/>
      <c r="N9" s="5"/>
      <c r="Q9" s="10"/>
      <c r="R9" s="6"/>
      <c r="S9" s="35"/>
      <c r="T9" s="1"/>
      <c r="V9" s="6">
        <f>Q17</f>
        <v>-1</v>
      </c>
      <c r="W9" s="10">
        <f>R17</f>
        <v>694.86540446617664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-4</v>
      </c>
      <c r="W10" s="10">
        <f>R20</f>
        <v>380.17298072043297</v>
      </c>
    </row>
    <row r="11" spans="1:23" ht="16" thickBot="1" x14ac:dyDescent="0.25">
      <c r="B11" s="12"/>
      <c r="C11" s="38">
        <f>SQRT((C2*(D6-L6)/D6)^2+(D6-L6)^2)</f>
        <v>3.4344877788840065</v>
      </c>
      <c r="D11" s="38"/>
      <c r="E11" s="38">
        <f>SQRT(E2^2+(F6-D6)^2)</f>
        <v>283.1960451701259</v>
      </c>
      <c r="F11" s="38"/>
      <c r="G11" s="45">
        <f>SQRT(G2^2+(F6-H6)^2)</f>
        <v>282.14358046923553</v>
      </c>
      <c r="H11" s="39"/>
      <c r="I11" s="38">
        <f>SQRT(I2^2+(H6-J6)^2)</f>
        <v>282.01595699534448</v>
      </c>
      <c r="J11" s="39"/>
      <c r="K11" s="39">
        <f>SQRT(K2^2+(J6-L6)^2)</f>
        <v>282.45353600194142</v>
      </c>
      <c r="L11" s="44"/>
      <c r="M11" s="2"/>
      <c r="N11" s="14"/>
      <c r="Q11" s="13">
        <f>Q8-L6</f>
        <v>15</v>
      </c>
      <c r="R11" s="12">
        <f>SUM(B11:N11)</f>
        <v>1133.2436064155313</v>
      </c>
      <c r="S11" s="36">
        <f>(0.5*C2*(D6-L6)^2/D6)+(E2*(D6-L6)+0.5*E2*(F6-D6))+(G2*(H6-L6)+0.5*G2*(F6-H6))+(I2*(J6-L6)+0.5*I2*(H6-J6))+(0.5*K2*(J6-L6))</f>
        <v>18050.79207920792</v>
      </c>
      <c r="T11" s="1"/>
      <c r="V11" s="7">
        <f>Q23</f>
        <v>-13</v>
      </c>
      <c r="W11" s="11">
        <f>R23</f>
        <v>0</v>
      </c>
    </row>
    <row r="12" spans="1:23" x14ac:dyDescent="0.2">
      <c r="B12" s="6"/>
      <c r="C12" s="1"/>
      <c r="D12" s="1">
        <v>0</v>
      </c>
      <c r="E12" s="1"/>
      <c r="F12" s="1">
        <f>F9-D9</f>
        <v>26</v>
      </c>
      <c r="G12" s="1"/>
      <c r="H12" s="1">
        <f>H9-D9</f>
        <v>17</v>
      </c>
      <c r="I12" s="1"/>
      <c r="J12" s="1">
        <f>J9-D9</f>
        <v>14</v>
      </c>
      <c r="K12" s="1"/>
      <c r="L12" s="1"/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2">
        <f>SQRT(E2^2+(F6-D6)^2)</f>
        <v>283.1960451701259</v>
      </c>
      <c r="F14" s="39"/>
      <c r="G14" s="2">
        <f>SQRT(G2^2+(F6-H6)^2)</f>
        <v>282.14358046923553</v>
      </c>
      <c r="H14" s="2"/>
      <c r="I14" s="2">
        <f>SQRT(I2^2+(H6-J6)^2)</f>
        <v>282.01595699534448</v>
      </c>
      <c r="J14" s="2"/>
      <c r="K14" s="2">
        <v>247.14684399999999</v>
      </c>
      <c r="L14" s="2"/>
      <c r="M14" s="2"/>
      <c r="N14" s="14"/>
      <c r="Q14" s="13">
        <f>Q11-D9</f>
        <v>13</v>
      </c>
      <c r="R14" s="12">
        <f>SUM(B14:N14)</f>
        <v>1094.5024266347059</v>
      </c>
      <c r="S14" s="36">
        <f>(0.5*E2*(F6-D6))+(G2*(H6-D6)+0.5*G2*(F6-H6))+(I2*(J6-D6)+0.5*I2*(H6-J6))+(0.5*K2*(J6-D6)^2/(J6-L6))</f>
        <v>15827.25</v>
      </c>
      <c r="T14" s="1"/>
    </row>
    <row r="15" spans="1:23" x14ac:dyDescent="0.2">
      <c r="B15" s="6"/>
      <c r="C15" s="1"/>
      <c r="D15" s="1"/>
      <c r="E15" s="1"/>
      <c r="F15" s="1">
        <f>F12-J12</f>
        <v>12</v>
      </c>
      <c r="G15" s="1"/>
      <c r="H15" s="1">
        <f>H12-J12</f>
        <v>3</v>
      </c>
      <c r="I15" s="1"/>
      <c r="J15" s="1">
        <v>0</v>
      </c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39">
        <f>SQRT((E2*(F6-J6)/(F6-D6))^2+(F6-J6)^2)</f>
        <v>130.7058670015966</v>
      </c>
      <c r="F17" s="2"/>
      <c r="G17" s="39">
        <f>SQRT(G2^2+(F6-H6)^2)</f>
        <v>282.14358046923553</v>
      </c>
      <c r="H17" s="2"/>
      <c r="I17" s="2">
        <f>SQRT(I2^2+(H6-J6)^2)</f>
        <v>282.01595699534448</v>
      </c>
      <c r="J17" s="2"/>
      <c r="K17" s="2"/>
      <c r="L17" s="2"/>
      <c r="M17" s="2"/>
      <c r="N17" s="14"/>
      <c r="Q17" s="13">
        <f>Q14-J12</f>
        <v>-1</v>
      </c>
      <c r="R17" s="12">
        <f>SUM(B17:N17)</f>
        <v>694.86540446617664</v>
      </c>
      <c r="S17" s="36">
        <f>(0.5*E2*(F6-J6)^2/(F6-D6))+(G2*(H6-L6)+0.5*G2*(F6-H6))+(0.5*I2*(H6-J6))</f>
        <v>7830.9230769230771</v>
      </c>
      <c r="T17" s="1"/>
    </row>
    <row r="18" spans="2:23" x14ac:dyDescent="0.2">
      <c r="B18" s="6"/>
      <c r="C18" s="1"/>
      <c r="D18" s="1"/>
      <c r="E18" s="1"/>
      <c r="F18" s="1">
        <f>F15-H15</f>
        <v>9</v>
      </c>
      <c r="G18" s="1"/>
      <c r="H18" s="1">
        <v>0</v>
      </c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>
        <f>SQRT((E2*(F6-H6)/(F6-D6))^2+(F6-H6)^2)</f>
        <v>98.02940025119743</v>
      </c>
      <c r="F20" s="2"/>
      <c r="G20" s="2">
        <f>SQRT(G2^2+(F6-H6)^2)</f>
        <v>282.14358046923553</v>
      </c>
      <c r="H20" s="2"/>
      <c r="I20" s="2"/>
      <c r="J20" s="2"/>
      <c r="K20" s="2"/>
      <c r="L20" s="2"/>
      <c r="M20" s="2"/>
      <c r="N20" s="14"/>
      <c r="Q20" s="13">
        <f>Q17-H15</f>
        <v>-4</v>
      </c>
      <c r="R20" s="12">
        <f>SUM(B20:N20)</f>
        <v>380.17298072043297</v>
      </c>
      <c r="S20" s="36">
        <f>(0.5*E2*(F6-H6)^2/(F6-D6))+(0.5*G2*(F6-H6))</f>
        <v>1708.2692307692307</v>
      </c>
      <c r="T20" s="1"/>
    </row>
    <row r="21" spans="2:23" ht="16" thickBot="1" x14ac:dyDescent="0.25">
      <c r="B21" s="6"/>
      <c r="C21" s="1"/>
      <c r="D21" s="1"/>
      <c r="E21" s="1"/>
      <c r="F21" s="1">
        <v>0</v>
      </c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114</v>
      </c>
      <c r="W22" s="10">
        <f>S8</f>
        <v>146358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Q20-F18</f>
        <v>-13</v>
      </c>
      <c r="R23" s="7">
        <f>SUM(B23:N23)</f>
        <v>0</v>
      </c>
      <c r="S23" s="37">
        <v>0</v>
      </c>
      <c r="T23" s="1"/>
      <c r="V23" s="6">
        <f>Q11</f>
        <v>15</v>
      </c>
      <c r="W23" s="10">
        <f>S11</f>
        <v>18050.79207920792</v>
      </c>
    </row>
    <row r="24" spans="2:23" x14ac:dyDescent="0.2">
      <c r="V24" s="6">
        <f>Q14</f>
        <v>13</v>
      </c>
      <c r="W24" s="10">
        <f>S14</f>
        <v>15827.25</v>
      </c>
    </row>
    <row r="25" spans="2:23" x14ac:dyDescent="0.2">
      <c r="V25" s="6">
        <f>Q17</f>
        <v>-1</v>
      </c>
      <c r="W25" s="10">
        <f>S17</f>
        <v>7830.9230769230771</v>
      </c>
    </row>
    <row r="26" spans="2:23" x14ac:dyDescent="0.2">
      <c r="V26" s="6">
        <f>Q20</f>
        <v>-4</v>
      </c>
      <c r="W26" s="10">
        <f>S20</f>
        <v>1708.2692307692307</v>
      </c>
    </row>
    <row r="27" spans="2:23" ht="16" thickBot="1" x14ac:dyDescent="0.25">
      <c r="V27" s="7">
        <f>Q23</f>
        <v>-13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8E71-4E1A-944B-908A-DECF84A56689}">
  <dimension ref="A1:W27"/>
  <sheetViews>
    <sheetView topLeftCell="T1" workbookViewId="0">
      <selection activeCell="AL23" sqref="AL23"/>
    </sheetView>
  </sheetViews>
  <sheetFormatPr baseColWidth="10" defaultRowHeight="15" x14ac:dyDescent="0.2"/>
  <cols>
    <col min="2" max="2" width="12.83203125" customWidth="1"/>
    <col min="17" max="17" width="16.33203125" customWidth="1"/>
    <col min="18" max="18" width="18.33203125" customWidth="1"/>
    <col min="19" max="19" width="26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48.7</v>
      </c>
      <c r="D2" s="26"/>
      <c r="E2" s="26">
        <v>97.4</v>
      </c>
      <c r="F2" s="26"/>
      <c r="G2" s="26">
        <v>97.4</v>
      </c>
      <c r="H2" s="26"/>
      <c r="I2" s="26">
        <v>97.4</v>
      </c>
      <c r="J2" s="26"/>
      <c r="K2" s="26">
        <v>97.4</v>
      </c>
      <c r="L2" s="26"/>
      <c r="M2" s="8">
        <v>48.7</v>
      </c>
      <c r="O2" s="42">
        <v>77</v>
      </c>
      <c r="P2" s="43">
        <v>38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-47+O2</f>
        <v>30</v>
      </c>
      <c r="E6" s="1"/>
      <c r="F6" s="1">
        <f>57+O2</f>
        <v>134</v>
      </c>
      <c r="G6" s="1"/>
      <c r="H6" s="1">
        <f>48+O2</f>
        <v>125</v>
      </c>
      <c r="I6" s="1"/>
      <c r="J6" s="1">
        <f>-14+O2</f>
        <v>63</v>
      </c>
      <c r="K6" s="1"/>
      <c r="L6" s="1">
        <f>-15+77</f>
        <v>62</v>
      </c>
      <c r="M6" s="1"/>
      <c r="N6" s="5">
        <v>0</v>
      </c>
      <c r="Q6" s="10"/>
      <c r="R6" s="4"/>
      <c r="S6" s="35"/>
      <c r="T6" s="1"/>
      <c r="V6" s="6">
        <f>Q8</f>
        <v>115</v>
      </c>
      <c r="W6" s="10">
        <f>R8</f>
        <v>589.20506110341114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85</v>
      </c>
      <c r="W7" s="10">
        <f>R11</f>
        <v>493.85815582999697</v>
      </c>
    </row>
    <row r="8" spans="1:23" x14ac:dyDescent="0.2">
      <c r="B8" s="12"/>
      <c r="C8" s="2">
        <f>SQRT(C2^2+D6^2)</f>
        <v>57.198688796160354</v>
      </c>
      <c r="D8" s="2"/>
      <c r="E8" s="2">
        <f>SQRT(E2^2+(F6-D6)^2)</f>
        <v>142.4877538597616</v>
      </c>
      <c r="F8" s="2"/>
      <c r="G8" s="2">
        <f>SQRT(G2^2+(F6-H6)^2)</f>
        <v>97.814927286176527</v>
      </c>
      <c r="H8" s="2"/>
      <c r="I8" s="2">
        <f>SQRT(I2^2+(H6-J6)^2)</f>
        <v>115.4589104400349</v>
      </c>
      <c r="J8" s="2"/>
      <c r="K8" s="2">
        <f>SQRT(K2^2+(J6-L6)^2)</f>
        <v>97.405133334953149</v>
      </c>
      <c r="L8" s="2"/>
      <c r="M8" s="2">
        <f>SQRT(M2^2+L6^2)</f>
        <v>78.839647386324614</v>
      </c>
      <c r="N8" s="14"/>
      <c r="Q8" s="13">
        <f>O2+P2</f>
        <v>115</v>
      </c>
      <c r="R8" s="12">
        <f>SUM(B8:N8)</f>
        <v>589.20506110341114</v>
      </c>
      <c r="S8" s="36">
        <f>(0.5*C2*D6)+(C2*D6+0.5*E2*(F6-D6))+(G2*H6+0.5*G2*(F6-H6))+(I2*J6+0.5*I2*(H6-J6))+(K2*L6+0.5*K2*(J6-L6))+(0.5*M2*L6)</f>
        <v>36622.399999999994</v>
      </c>
      <c r="T8" s="1"/>
      <c r="V8" s="6">
        <f>Q14</f>
        <v>53</v>
      </c>
      <c r="W8" s="10">
        <f>R14</f>
        <v>409.32433911792259</v>
      </c>
    </row>
    <row r="9" spans="1:23" x14ac:dyDescent="0.2">
      <c r="B9" s="6"/>
      <c r="C9" s="1"/>
      <c r="D9" s="1">
        <v>0</v>
      </c>
      <c r="E9" s="1"/>
      <c r="F9" s="1">
        <f>F6-D6</f>
        <v>104</v>
      </c>
      <c r="G9" s="1"/>
      <c r="H9" s="1">
        <f>H6-D6</f>
        <v>95</v>
      </c>
      <c r="I9" s="1"/>
      <c r="J9" s="1">
        <f>J6-D6</f>
        <v>33</v>
      </c>
      <c r="K9" s="1"/>
      <c r="L9" s="1">
        <f>L6-D6</f>
        <v>32</v>
      </c>
      <c r="M9" s="1"/>
      <c r="N9" s="5"/>
      <c r="Q9" s="10"/>
      <c r="R9" s="6"/>
      <c r="S9" s="35"/>
      <c r="T9" s="1"/>
      <c r="V9" s="6">
        <f>Q17</f>
        <v>52</v>
      </c>
      <c r="W9" s="10">
        <f>R17</f>
        <v>196.952461277559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-10</v>
      </c>
      <c r="W10" s="10">
        <f>R20</f>
        <v>110.14559829327128</v>
      </c>
    </row>
    <row r="11" spans="1:23" ht="16" thickBot="1" x14ac:dyDescent="0.25">
      <c r="B11" s="12"/>
      <c r="C11" s="2"/>
      <c r="D11" s="38"/>
      <c r="E11" s="39">
        <f>SQRT(E2^2+(F6-D6)^2)</f>
        <v>142.4877538597616</v>
      </c>
      <c r="F11" s="38"/>
      <c r="G11" s="2">
        <f>SQRT(G2^2+(F6-H6)^2)</f>
        <v>97.814927286176527</v>
      </c>
      <c r="H11" s="2"/>
      <c r="I11" s="2">
        <f>SQRT(I2^2+(H6-J6)^2)</f>
        <v>115.4589104400349</v>
      </c>
      <c r="J11" s="2"/>
      <c r="K11" s="2">
        <f>SQRT(K2^2+(J6-L6)^2)</f>
        <v>97.405133334953149</v>
      </c>
      <c r="L11" s="19"/>
      <c r="M11" s="2">
        <f>SQRT((M2*(L6-D6)/L6)^2+(L6-D6)^2)</f>
        <v>40.691430909070768</v>
      </c>
      <c r="N11" s="14"/>
      <c r="Q11" s="13">
        <f>Q8-D6</f>
        <v>85</v>
      </c>
      <c r="R11" s="12">
        <f>SUM(B11:N11)</f>
        <v>493.85815582999697</v>
      </c>
      <c r="S11" s="36">
        <f>(0.5*E2*(F6-D6))+(G2*(H6-D6)+0.5*G2*(F6-H6))+(I2*(J6-D6)+0.5*I2*(H6-J6))+(K2*(L6-D6)+0.5*K2*(J6-L6))+(0.5*M2*(L6-D6)^2/L6)</f>
        <v>24557.367741935483</v>
      </c>
      <c r="T11" s="1"/>
      <c r="V11" s="7">
        <f>Q23</f>
        <v>-19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f>F9-L9</f>
        <v>72</v>
      </c>
      <c r="G12" s="1"/>
      <c r="H12" s="1">
        <f>H9-L9</f>
        <v>63</v>
      </c>
      <c r="I12" s="1"/>
      <c r="J12" s="1">
        <f>J9-L9</f>
        <v>1</v>
      </c>
      <c r="K12" s="1"/>
      <c r="L12" s="1">
        <v>0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>
        <f>SQRT((E2*(F6-L6)/(F6-D6))^2+(F6-L6)^2)</f>
        <v>98.645368056758016</v>
      </c>
      <c r="F14" s="39"/>
      <c r="G14" s="38">
        <f>SQRT(G2^2+(F6-H6)^2)</f>
        <v>97.814927286176527</v>
      </c>
      <c r="H14" s="2"/>
      <c r="I14" s="2">
        <f>SQRT(I2^2+(H6-J6)^2)</f>
        <v>115.4589104400349</v>
      </c>
      <c r="J14" s="2"/>
      <c r="K14" s="2">
        <f>SQRT(K2^2+(J6-L6)^2)</f>
        <v>97.405133334953149</v>
      </c>
      <c r="L14" s="2"/>
      <c r="M14" s="2"/>
      <c r="N14" s="14"/>
      <c r="Q14" s="13">
        <f>Q11-L9</f>
        <v>53</v>
      </c>
      <c r="R14" s="12">
        <f>SUM(B14:N14)</f>
        <v>409.32433911792259</v>
      </c>
      <c r="S14" s="36">
        <f>(0.5*E2*(F6-L6)^2/(F6-D6))+(G2*(H6-L6)+0.5*G2*(F6-H6))+(I2*(J6-L6)+0.5*I2*(H6-J6))+(0.5*K2*(J6-L6))</f>
        <v>12167.507692307696</v>
      </c>
      <c r="T14" s="1"/>
    </row>
    <row r="15" spans="1:23" x14ac:dyDescent="0.2">
      <c r="B15" s="6"/>
      <c r="C15" s="1"/>
      <c r="D15" s="1"/>
      <c r="E15" s="1"/>
      <c r="F15" s="1">
        <f>F12-J12</f>
        <v>71</v>
      </c>
      <c r="G15" s="1"/>
      <c r="H15" s="1">
        <f>H12-J12</f>
        <v>62</v>
      </c>
      <c r="I15" s="1"/>
      <c r="J15" s="1">
        <v>0</v>
      </c>
      <c r="K15" s="1"/>
      <c r="L15" s="1"/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>
        <f>SQRT((E2*(F6-J6)/(F6-D6))^2+(F6-J6)^2)</f>
        <v>97.275293500414151</v>
      </c>
      <c r="F17" s="2"/>
      <c r="G17" s="2">
        <f>SQRT(G2^2+(F6-H6)^2)</f>
        <v>97.814927286176527</v>
      </c>
      <c r="H17" s="2"/>
      <c r="I17" s="2">
        <f>SQRT((I2*(J6-L6)/(H6-J6))^2+(J6-L6)^2)</f>
        <v>1.8622404909683048</v>
      </c>
      <c r="J17" s="2"/>
      <c r="K17" s="2"/>
      <c r="L17" s="2"/>
      <c r="M17" s="2"/>
      <c r="N17" s="14"/>
      <c r="Q17" s="13">
        <f>Q14-J12</f>
        <v>52</v>
      </c>
      <c r="R17" s="12">
        <f>SUM(B17:N17)</f>
        <v>196.952461277559</v>
      </c>
      <c r="S17" s="36">
        <f>(0.5*E2*(F6-J6)^2/(F6-D6))+(G2*(H6-J6)+0.5*G2*(F6-H6))+(0.5*I2*(J6-L6)^2/(H6-J6))</f>
        <v>8838.4306761786611</v>
      </c>
      <c r="T17" s="1"/>
    </row>
    <row r="18" spans="2:23" x14ac:dyDescent="0.2">
      <c r="B18" s="6"/>
      <c r="C18" s="1"/>
      <c r="D18" s="1"/>
      <c r="E18" s="1"/>
      <c r="F18" s="1">
        <f>F15-H15</f>
        <v>9</v>
      </c>
      <c r="G18" s="1"/>
      <c r="H18" s="1">
        <v>0</v>
      </c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>
        <f>SQRT((E2*(F6-H6)/(F6-D6))^2+(F6-H6)^2)</f>
        <v>12.330671007094752</v>
      </c>
      <c r="F20" s="2"/>
      <c r="G20" s="2">
        <f>SQRT(G2^2+(F6-H6)^2)</f>
        <v>97.814927286176527</v>
      </c>
      <c r="H20" s="2"/>
      <c r="I20" s="2"/>
      <c r="J20" s="2"/>
      <c r="K20" s="2"/>
      <c r="L20" s="2"/>
      <c r="M20" s="2"/>
      <c r="N20" s="14"/>
      <c r="Q20" s="13">
        <f>Q17-H15</f>
        <v>-10</v>
      </c>
      <c r="R20" s="12">
        <f>SUM(B20:N20)</f>
        <v>110.14559829327128</v>
      </c>
      <c r="S20" s="36">
        <f>(0.5*E2*(F6-H6)^2/(F6-D6))+(0.5*G2*(F6-H6))</f>
        <v>476.2298076923077</v>
      </c>
      <c r="T20" s="1"/>
    </row>
    <row r="21" spans="2:23" ht="16" thickBot="1" x14ac:dyDescent="0.25">
      <c r="B21" s="6"/>
      <c r="C21" s="1"/>
      <c r="D21" s="1"/>
      <c r="E21" s="1"/>
      <c r="F21" s="1">
        <v>0</v>
      </c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115</v>
      </c>
      <c r="W22" s="10">
        <f>S8</f>
        <v>36622.399999999994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Q20-F18</f>
        <v>-19</v>
      </c>
      <c r="R23" s="7">
        <f>SUM(B23:N23)</f>
        <v>0</v>
      </c>
      <c r="S23" s="37">
        <v>0</v>
      </c>
      <c r="T23" s="1"/>
      <c r="V23" s="6">
        <f>Q11</f>
        <v>85</v>
      </c>
      <c r="W23" s="10">
        <f>S11</f>
        <v>24557.367741935483</v>
      </c>
    </row>
    <row r="24" spans="2:23" x14ac:dyDescent="0.2">
      <c r="V24" s="6">
        <f>Q14</f>
        <v>53</v>
      </c>
      <c r="W24" s="10">
        <f>S14</f>
        <v>12167.507692307696</v>
      </c>
    </row>
    <row r="25" spans="2:23" x14ac:dyDescent="0.2">
      <c r="V25" s="6">
        <f>Q17</f>
        <v>52</v>
      </c>
      <c r="W25" s="10">
        <f>S17</f>
        <v>8838.4306761786611</v>
      </c>
    </row>
    <row r="26" spans="2:23" x14ac:dyDescent="0.2">
      <c r="V26" s="6">
        <f>Q20</f>
        <v>-10</v>
      </c>
      <c r="W26" s="10">
        <f>S20</f>
        <v>476.2298076923077</v>
      </c>
    </row>
    <row r="27" spans="2:23" ht="16" thickBot="1" x14ac:dyDescent="0.25">
      <c r="V27" s="7">
        <f>Q23</f>
        <v>-19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DAF3-681A-6B48-8CAB-490AD6F69912}">
  <dimension ref="A1:W27"/>
  <sheetViews>
    <sheetView topLeftCell="R1" workbookViewId="0">
      <selection activeCell="AF16" sqref="AF16"/>
    </sheetView>
  </sheetViews>
  <sheetFormatPr baseColWidth="10" defaultRowHeight="15" x14ac:dyDescent="0.2"/>
  <cols>
    <col min="2" max="2" width="13" customWidth="1"/>
    <col min="17" max="17" width="15.1640625" customWidth="1"/>
    <col min="18" max="18" width="16.6640625" customWidth="1"/>
    <col min="19" max="19" width="16.5" customWidth="1"/>
  </cols>
  <sheetData>
    <row r="1" spans="1:23" x14ac:dyDescent="0.2">
      <c r="A1" t="s">
        <v>14</v>
      </c>
      <c r="C1" s="27" t="s">
        <v>8</v>
      </c>
      <c r="D1" s="28"/>
      <c r="E1" s="28" t="s">
        <v>9</v>
      </c>
      <c r="F1" s="28"/>
      <c r="G1" s="28" t="s">
        <v>10</v>
      </c>
      <c r="H1" s="28"/>
      <c r="I1" s="28" t="s">
        <v>11</v>
      </c>
      <c r="J1" s="28"/>
      <c r="K1" s="28" t="s">
        <v>12</v>
      </c>
      <c r="L1" s="29"/>
      <c r="M1" s="30" t="s">
        <v>13</v>
      </c>
      <c r="O1" s="40" t="s">
        <v>38</v>
      </c>
      <c r="P1" s="41" t="s">
        <v>39</v>
      </c>
    </row>
    <row r="2" spans="1:23" ht="16" thickBot="1" x14ac:dyDescent="0.25">
      <c r="A2" s="16" t="s">
        <v>33</v>
      </c>
      <c r="C2" s="7">
        <v>113</v>
      </c>
      <c r="D2" s="26"/>
      <c r="E2" s="26">
        <v>226</v>
      </c>
      <c r="F2" s="26"/>
      <c r="G2" s="26">
        <v>226</v>
      </c>
      <c r="H2" s="26"/>
      <c r="I2" s="26">
        <v>226</v>
      </c>
      <c r="J2" s="26"/>
      <c r="K2" s="26">
        <v>226</v>
      </c>
      <c r="L2" s="26"/>
      <c r="M2" s="8">
        <v>113</v>
      </c>
      <c r="O2" s="42">
        <v>105</v>
      </c>
      <c r="P2" s="43">
        <v>32</v>
      </c>
    </row>
    <row r="3" spans="1:23" x14ac:dyDescent="0.2">
      <c r="C3" s="1"/>
      <c r="D3" s="1"/>
      <c r="E3" s="1"/>
      <c r="F3" s="1"/>
      <c r="G3" s="1"/>
      <c r="H3" s="1"/>
      <c r="I3" s="1"/>
      <c r="J3" s="1"/>
      <c r="K3" s="1"/>
    </row>
    <row r="4" spans="1:23" ht="16" thickBot="1" x14ac:dyDescent="0.25">
      <c r="C4" s="1"/>
      <c r="D4" s="1"/>
      <c r="E4" s="1"/>
      <c r="F4" s="1"/>
      <c r="G4" s="1"/>
      <c r="H4" s="1"/>
      <c r="I4" s="1"/>
      <c r="J4" s="1"/>
      <c r="K4" s="1"/>
    </row>
    <row r="5" spans="1:23" ht="17" thickBot="1" x14ac:dyDescent="0.25">
      <c r="B5" s="20" t="s">
        <v>15</v>
      </c>
      <c r="C5" s="21" t="s">
        <v>16</v>
      </c>
      <c r="D5" s="22" t="s">
        <v>0</v>
      </c>
      <c r="E5" s="21" t="s">
        <v>17</v>
      </c>
      <c r="F5" s="22" t="s">
        <v>1</v>
      </c>
      <c r="G5" s="21" t="s">
        <v>18</v>
      </c>
      <c r="H5" s="22" t="s">
        <v>2</v>
      </c>
      <c r="I5" s="21" t="s">
        <v>19</v>
      </c>
      <c r="J5" s="22" t="s">
        <v>3</v>
      </c>
      <c r="K5" s="21" t="s">
        <v>20</v>
      </c>
      <c r="L5" s="22" t="s">
        <v>4</v>
      </c>
      <c r="M5" s="21" t="s">
        <v>21</v>
      </c>
      <c r="N5" s="23" t="s">
        <v>22</v>
      </c>
      <c r="Q5" s="9" t="s">
        <v>7</v>
      </c>
      <c r="R5" s="3" t="s">
        <v>5</v>
      </c>
      <c r="S5" s="34" t="s">
        <v>6</v>
      </c>
      <c r="T5" s="33"/>
      <c r="V5" s="31" t="s">
        <v>23</v>
      </c>
      <c r="W5" s="32" t="s">
        <v>24</v>
      </c>
    </row>
    <row r="6" spans="1:23" x14ac:dyDescent="0.2">
      <c r="A6" t="s">
        <v>25</v>
      </c>
      <c r="B6" s="6">
        <v>0</v>
      </c>
      <c r="C6" s="1"/>
      <c r="D6" s="1">
        <f>8+O2</f>
        <v>113</v>
      </c>
      <c r="E6" s="1"/>
      <c r="F6" s="1">
        <f>45.5+O2</f>
        <v>150.5</v>
      </c>
      <c r="G6" s="1"/>
      <c r="H6" s="1">
        <f>35+O2</f>
        <v>140</v>
      </c>
      <c r="I6" s="1"/>
      <c r="J6" s="1">
        <f>13+O2</f>
        <v>118</v>
      </c>
      <c r="K6" s="1"/>
      <c r="L6" s="1">
        <f>15.5+O2</f>
        <v>120.5</v>
      </c>
      <c r="M6" s="1"/>
      <c r="N6" s="5">
        <v>0</v>
      </c>
      <c r="Q6" s="10"/>
      <c r="R6" s="4"/>
      <c r="S6" s="35"/>
      <c r="T6" s="1"/>
      <c r="V6" s="6">
        <f>Q8</f>
        <v>137</v>
      </c>
      <c r="W6" s="10">
        <f>R8</f>
        <v>1233.4166457089996</v>
      </c>
    </row>
    <row r="7" spans="1:23" x14ac:dyDescent="0.2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Q7" s="10"/>
      <c r="R7" s="4"/>
      <c r="S7" s="35"/>
      <c r="T7" s="1"/>
      <c r="V7" s="6">
        <f>Q11</f>
        <v>24</v>
      </c>
      <c r="W7" s="10">
        <f>R11</f>
        <v>918.6977513963194</v>
      </c>
    </row>
    <row r="8" spans="1:23" x14ac:dyDescent="0.2">
      <c r="B8" s="12"/>
      <c r="C8" s="2">
        <f>SQRT(C2^2+D6^2)</f>
        <v>159.80613254815975</v>
      </c>
      <c r="D8" s="2"/>
      <c r="E8" s="2">
        <f>SQRT(E2^2+(F6-D6)^2)</f>
        <v>229.09004779780375</v>
      </c>
      <c r="F8" s="2"/>
      <c r="G8" s="2">
        <f>SQRT(G2^2+(F6-H6)^2)</f>
        <v>226.24378444500968</v>
      </c>
      <c r="H8" s="2"/>
      <c r="I8" s="2">
        <f>SQRT(I2^2+(H6-J6)^2)</f>
        <v>227.06827167175956</v>
      </c>
      <c r="J8" s="2"/>
      <c r="K8" s="2">
        <f>SQRT(K2^2+(L6-J6)^2)</f>
        <v>226.01382701064995</v>
      </c>
      <c r="L8" s="2"/>
      <c r="M8" s="2">
        <f>SQRT(M2^2+L6^2)</f>
        <v>165.19458223561691</v>
      </c>
      <c r="N8" s="14"/>
      <c r="Q8" s="13">
        <f>O2+P2</f>
        <v>137</v>
      </c>
      <c r="R8" s="12">
        <f>SUM(B8:N8)</f>
        <v>1233.4166457089996</v>
      </c>
      <c r="S8" s="36">
        <f>(0.5*C2*D6)+(E2*D6+0.5*E2*(F6-D6))+(G2*H6+0.5*G2*(F6-H6))+(I2*J6+0.5*I2*(H6-J6))+(K2*J6+0.5*K2*(L6-J6))+(0.5*M2*L6)</f>
        <v>131899.25</v>
      </c>
      <c r="T8" s="1"/>
      <c r="V8" s="6">
        <f>Q14</f>
        <v>19</v>
      </c>
      <c r="W8" s="10">
        <f>R14</f>
        <v>661.08414001818608</v>
      </c>
    </row>
    <row r="9" spans="1:23" x14ac:dyDescent="0.2">
      <c r="B9" s="6"/>
      <c r="C9" s="1"/>
      <c r="D9" s="1">
        <v>0</v>
      </c>
      <c r="E9" s="1"/>
      <c r="F9" s="1">
        <f>F6-D6</f>
        <v>37.5</v>
      </c>
      <c r="G9" s="1"/>
      <c r="H9" s="1">
        <f>H6-D6</f>
        <v>27</v>
      </c>
      <c r="I9" s="1"/>
      <c r="J9" s="1">
        <f>J6-D6</f>
        <v>5</v>
      </c>
      <c r="K9" s="1"/>
      <c r="L9" s="1">
        <f>L6-D6</f>
        <v>7.5</v>
      </c>
      <c r="M9" s="1"/>
      <c r="N9" s="5"/>
      <c r="Q9" s="10"/>
      <c r="R9" s="6"/>
      <c r="S9" s="35"/>
      <c r="T9" s="1"/>
      <c r="V9" s="6">
        <f>Q17</f>
        <v>16.5</v>
      </c>
      <c r="W9" s="10">
        <f>R17</f>
        <v>610.78088166503949</v>
      </c>
    </row>
    <row r="10" spans="1:23" x14ac:dyDescent="0.2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Q10" s="10"/>
      <c r="R10" s="4"/>
      <c r="S10" s="35"/>
      <c r="T10" s="1"/>
      <c r="V10" s="6">
        <f>Q20</f>
        <v>-3</v>
      </c>
      <c r="W10" s="10">
        <f>R20</f>
        <v>290.38899782839474</v>
      </c>
    </row>
    <row r="11" spans="1:23" ht="16" thickBot="1" x14ac:dyDescent="0.25">
      <c r="B11" s="12"/>
      <c r="C11" s="2"/>
      <c r="D11" s="38"/>
      <c r="E11" s="39">
        <f>SQRT(E2^2+(F6-D6)^2)</f>
        <v>229.09004779780375</v>
      </c>
      <c r="F11" s="38"/>
      <c r="G11" s="2">
        <f>SQRT(G2^2+(F6-H6)^2)</f>
        <v>226.24378444500968</v>
      </c>
      <c r="H11" s="2"/>
      <c r="I11" s="2">
        <f>SQRT(I2^2+(H6-J6)^2)</f>
        <v>227.06827167175956</v>
      </c>
      <c r="J11" s="2"/>
      <c r="K11" s="2">
        <f>SQRT(K2^2+(L6-J6)^2)</f>
        <v>226.01382701064995</v>
      </c>
      <c r="L11" s="19"/>
      <c r="M11" s="2">
        <f>SQRT((M2*(L6-D6)/L6)^2+(L6-D6)^2)</f>
        <v>10.28182047109649</v>
      </c>
      <c r="N11" s="14"/>
      <c r="Q11" s="13">
        <f>Q8-D6</f>
        <v>24</v>
      </c>
      <c r="R11" s="12">
        <f>SUM(B11:N11)</f>
        <v>918.6977513963194</v>
      </c>
      <c r="S11" s="36">
        <f>(0.5*E2*(F6-D6))+(G2*(H6-D6)+0.5*G2*(F6-H6))+(I2*(J6-D6)+0.5*I2*(H6-J6))+(K2*(J6-D6)+0.5*K2*(L6-J6))+(0.5*M2*(L6-D6)^2/L6)</f>
        <v>16580.874481327803</v>
      </c>
      <c r="T11" s="1"/>
      <c r="V11" s="7">
        <f>Q23</f>
        <v>-13.5</v>
      </c>
      <c r="W11" s="11">
        <f>R23</f>
        <v>0</v>
      </c>
    </row>
    <row r="12" spans="1:23" x14ac:dyDescent="0.2">
      <c r="B12" s="6"/>
      <c r="C12" s="1"/>
      <c r="D12" s="1"/>
      <c r="E12" s="1"/>
      <c r="F12" s="1">
        <f>F9-J9</f>
        <v>32.5</v>
      </c>
      <c r="G12" s="1"/>
      <c r="H12" s="1">
        <f>H9-J9</f>
        <v>22</v>
      </c>
      <c r="I12" s="1"/>
      <c r="J12" s="1">
        <v>0</v>
      </c>
      <c r="K12" s="1"/>
      <c r="L12" s="1">
        <f>L9-J9</f>
        <v>2.5</v>
      </c>
      <c r="M12" s="1"/>
      <c r="N12" s="5"/>
      <c r="Q12" s="10"/>
      <c r="R12" s="6"/>
      <c r="S12" s="35"/>
      <c r="T12" s="1"/>
    </row>
    <row r="13" spans="1:23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Q13" s="10"/>
      <c r="R13" s="6"/>
      <c r="S13" s="35"/>
      <c r="T13" s="1"/>
    </row>
    <row r="14" spans="1:23" x14ac:dyDescent="0.2">
      <c r="B14" s="12"/>
      <c r="C14" s="38"/>
      <c r="D14" s="39"/>
      <c r="E14" s="39">
        <f>SQRT((E2*(F6-J6)/(F6-D6))^2+(F6-J6)^2)</f>
        <v>198.54470809142992</v>
      </c>
      <c r="F14" s="39"/>
      <c r="G14" s="38">
        <f>SQRT(G2^2+(F6-H6)^2)</f>
        <v>226.24378444500968</v>
      </c>
      <c r="H14" s="2"/>
      <c r="I14" s="2">
        <f>SQRT(I2^2+(L6-J6)^2)</f>
        <v>226.01382701064995</v>
      </c>
      <c r="J14" s="2"/>
      <c r="K14" s="2">
        <f>SQRT((M2*(L6-D6)/L6)^2+(L6-D6)^2)</f>
        <v>10.28182047109649</v>
      </c>
      <c r="L14" s="2"/>
      <c r="M14" s="2"/>
      <c r="N14" s="14"/>
      <c r="Q14" s="13">
        <f>Q11-J9</f>
        <v>19</v>
      </c>
      <c r="R14" s="12">
        <f>SUM(B14:N14)</f>
        <v>661.08414001818608</v>
      </c>
      <c r="S14" s="36">
        <f>(0.5*E2*(F6-J6)^2/(F6-D6))+(G2*(H6-J6)+0.5*G2*(F6-H6))+(0.5*I2*(H6-J6))+(0.5*K2*(L6-J6))+(0.5*M2*(L6-J6)^2/L6)</f>
        <v>12112.763831258646</v>
      </c>
      <c r="T14" s="1"/>
    </row>
    <row r="15" spans="1:23" x14ac:dyDescent="0.2">
      <c r="B15" s="6"/>
      <c r="C15" s="1"/>
      <c r="D15" s="1"/>
      <c r="E15" s="1"/>
      <c r="F15" s="1">
        <f>F12-L12</f>
        <v>30</v>
      </c>
      <c r="G15" s="1"/>
      <c r="H15" s="1">
        <f>H12-L12</f>
        <v>19.5</v>
      </c>
      <c r="I15" s="1"/>
      <c r="J15" s="1"/>
      <c r="K15" s="1"/>
      <c r="L15" s="1">
        <v>0</v>
      </c>
      <c r="M15" s="1"/>
      <c r="N15" s="5"/>
      <c r="Q15" s="10"/>
      <c r="R15" s="6"/>
      <c r="S15" s="35"/>
      <c r="T15" s="1"/>
    </row>
    <row r="16" spans="1:23" x14ac:dyDescent="0.2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Q16" s="10"/>
      <c r="R16" s="6"/>
      <c r="S16" s="35"/>
      <c r="T16" s="1"/>
    </row>
    <row r="17" spans="2:23" x14ac:dyDescent="0.2">
      <c r="B17" s="12"/>
      <c r="C17" s="2"/>
      <c r="D17" s="2"/>
      <c r="E17" s="2">
        <f>SQRT((E2*(F6-L6)/(F6-D6))^2+(F6-L6)^2)</f>
        <v>183.272038238243</v>
      </c>
      <c r="F17" s="2"/>
      <c r="G17" s="2">
        <f>SQRT(G2^2+(F6-H6)^2)</f>
        <v>226.24378444500968</v>
      </c>
      <c r="H17" s="2"/>
      <c r="I17" s="2">
        <f>SQRT((I2*(H6-L6)/(H6-J6))^2+(H6-L6)^2)</f>
        <v>201.26505898178686</v>
      </c>
      <c r="J17" s="2"/>
      <c r="K17" s="2"/>
      <c r="L17" s="2"/>
      <c r="M17" s="2"/>
      <c r="N17" s="14"/>
      <c r="Q17" s="13">
        <f>Q14-L12</f>
        <v>16.5</v>
      </c>
      <c r="R17" s="12">
        <f>SUM(B17:N17)</f>
        <v>610.78088166503949</v>
      </c>
      <c r="S17" s="36">
        <f>(0.5*E2*(F6-L6)^2/(F6-D6))+(G2*(H6-L6)+0.5*G2*(F6-H6))+(0.5*I2*(H6-L6)^2/(H6-J6))</f>
        <v>10258.602272727272</v>
      </c>
      <c r="T17" s="1"/>
    </row>
    <row r="18" spans="2:23" x14ac:dyDescent="0.2">
      <c r="B18" s="6"/>
      <c r="C18" s="1"/>
      <c r="D18" s="1"/>
      <c r="E18" s="1"/>
      <c r="F18" s="1">
        <f>F15-H15</f>
        <v>10.5</v>
      </c>
      <c r="G18" s="1"/>
      <c r="H18" s="1">
        <v>0</v>
      </c>
      <c r="I18" s="1"/>
      <c r="J18" s="1"/>
      <c r="K18" s="1"/>
      <c r="L18" s="1"/>
      <c r="M18" s="1"/>
      <c r="N18" s="5"/>
      <c r="Q18" s="10"/>
      <c r="R18" s="6"/>
      <c r="S18" s="35"/>
      <c r="T18" s="1"/>
    </row>
    <row r="19" spans="2:23" x14ac:dyDescent="0.2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Q19" s="10"/>
      <c r="R19" s="6"/>
      <c r="S19" s="35"/>
      <c r="T19" s="1"/>
    </row>
    <row r="20" spans="2:23" ht="16" thickBot="1" x14ac:dyDescent="0.25">
      <c r="B20" s="12"/>
      <c r="C20" s="2"/>
      <c r="D20" s="2"/>
      <c r="E20" s="2">
        <f>SQRT((E2*(F6-H6)/(F6-D6))^2+(F6-H6)^2)</f>
        <v>64.145213383385041</v>
      </c>
      <c r="F20" s="2"/>
      <c r="G20" s="2">
        <f>SQRT(G2^2+(F6-H6)^2)</f>
        <v>226.24378444500968</v>
      </c>
      <c r="H20" s="2"/>
      <c r="I20" s="2"/>
      <c r="J20" s="2"/>
      <c r="K20" s="2"/>
      <c r="L20" s="2"/>
      <c r="M20" s="2"/>
      <c r="N20" s="14"/>
      <c r="Q20" s="13">
        <f>Q17-H15</f>
        <v>-3</v>
      </c>
      <c r="R20" s="12">
        <f>SUM(B20:N20)</f>
        <v>290.38899782839474</v>
      </c>
      <c r="S20" s="36">
        <f>(0.5*E2*(F6-H6)^2/(F6-D6))+(0.5*G2*(F6-H6))</f>
        <v>1518.72</v>
      </c>
      <c r="T20" s="1"/>
    </row>
    <row r="21" spans="2:23" ht="16" thickBot="1" x14ac:dyDescent="0.25">
      <c r="B21" s="6"/>
      <c r="C21" s="1"/>
      <c r="D21" s="1"/>
      <c r="E21" s="1"/>
      <c r="F21" s="1">
        <v>0</v>
      </c>
      <c r="G21" s="1"/>
      <c r="H21" s="1"/>
      <c r="I21" s="1"/>
      <c r="J21" s="1"/>
      <c r="K21" s="1"/>
      <c r="L21" s="1"/>
      <c r="M21" s="1"/>
      <c r="N21" s="5"/>
      <c r="Q21" s="10"/>
      <c r="R21" s="6"/>
      <c r="S21" s="35"/>
      <c r="T21" s="1"/>
      <c r="V21" s="31" t="s">
        <v>23</v>
      </c>
      <c r="W21" s="32" t="s">
        <v>31</v>
      </c>
    </row>
    <row r="22" spans="2:23" x14ac:dyDescent="0.2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Q22" s="10"/>
      <c r="R22" s="6"/>
      <c r="S22" s="35"/>
      <c r="T22" s="1"/>
      <c r="V22" s="6">
        <f>Q8</f>
        <v>137</v>
      </c>
      <c r="W22" s="10">
        <f>S8</f>
        <v>131899.25</v>
      </c>
    </row>
    <row r="23" spans="2:23" ht="16" thickBot="1" x14ac:dyDescent="0.25">
      <c r="B23" s="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8"/>
      <c r="Q23" s="11">
        <f>Q20-F18</f>
        <v>-13.5</v>
      </c>
      <c r="R23" s="7">
        <f>SUM(B23:N23)</f>
        <v>0</v>
      </c>
      <c r="S23" s="37">
        <v>0</v>
      </c>
      <c r="T23" s="1"/>
      <c r="V23" s="6">
        <f>Q11</f>
        <v>24</v>
      </c>
      <c r="W23" s="10">
        <f>S11</f>
        <v>16580.874481327803</v>
      </c>
    </row>
    <row r="24" spans="2:23" x14ac:dyDescent="0.2">
      <c r="V24" s="6">
        <f>Q14</f>
        <v>19</v>
      </c>
      <c r="W24" s="10">
        <f>S14</f>
        <v>12112.763831258646</v>
      </c>
    </row>
    <row r="25" spans="2:23" x14ac:dyDescent="0.2">
      <c r="V25" s="6">
        <f>Q17</f>
        <v>16.5</v>
      </c>
      <c r="W25" s="10">
        <f>S17</f>
        <v>10258.602272727272</v>
      </c>
    </row>
    <row r="26" spans="2:23" x14ac:dyDescent="0.2">
      <c r="V26" s="6">
        <f>Q20</f>
        <v>-3</v>
      </c>
      <c r="W26" s="10">
        <f>S20</f>
        <v>1518.72</v>
      </c>
    </row>
    <row r="27" spans="2:23" ht="16" thickBot="1" x14ac:dyDescent="0.25">
      <c r="V27" s="7">
        <f>Q23</f>
        <v>-13.5</v>
      </c>
      <c r="W27" s="11">
        <f>S23</f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 Me</vt:lpstr>
      <vt:lpstr>Final Models</vt:lpstr>
      <vt:lpstr>SHADY</vt:lpstr>
      <vt:lpstr>DC116</vt:lpstr>
      <vt:lpstr>DC20</vt:lpstr>
      <vt:lpstr>DC10</vt:lpstr>
      <vt:lpstr>BR55</vt:lpstr>
      <vt:lpstr>EFAR</vt:lpstr>
      <vt:lpstr>MON</vt:lpstr>
      <vt:lpstr>GSW</vt:lpstr>
      <vt:lpstr>NFFR</vt:lpstr>
      <vt:lpstr>MAR</vt:lpstr>
      <vt:lpstr>CAT</vt:lpstr>
      <vt:lpstr>BUT</vt:lpstr>
      <vt:lpstr>WBUT</vt:lpstr>
      <vt:lpstr>MCL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Hermann</cp:lastModifiedBy>
  <cp:revision/>
  <dcterms:created xsi:type="dcterms:W3CDTF">2026-02-02T20:09:22Z</dcterms:created>
  <dcterms:modified xsi:type="dcterms:W3CDTF">2026-02-27T16:39:44Z</dcterms:modified>
  <cp:category/>
  <cp:contentStatus/>
</cp:coreProperties>
</file>